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uccl0-my.sharepoint.com/personal/fchiappe_uc_cl/Documents/Desktop/UC/2025-2/Proyecto de Grado/Proyecto-Grado/Entregas/UC/Entrega 2/"/>
    </mc:Choice>
  </mc:AlternateContent>
  <xr:revisionPtr revIDLastSave="398" documentId="13_ncr:1_{2E3FBD6E-751F-0F41-8141-ADEF063B0E90}" xr6:coauthVersionLast="47" xr6:coauthVersionMax="47" xr10:uidLastSave="{BD40C3AD-A80A-4619-B54F-FB6A96F03FF4}"/>
  <bookViews>
    <workbookView xWindow="-120" yWindow="-120" windowWidth="29040" windowHeight="15720" firstSheet="1" activeTab="1" xr2:uid="{E6B73E7E-2A05-5342-8131-0985C43B9BDA}"/>
  </bookViews>
  <sheets>
    <sheet name="Frentes y Responsables" sheetId="5" state="hidden" r:id="rId1"/>
    <sheet name="Template" sheetId="11" r:id="rId2"/>
    <sheet name="Plan SteerCo#1" sheetId="4" state="hidden" r:id="rId3"/>
    <sheet name="Plan SteerCo#2" sheetId="10" state="hidden" r:id="rId4"/>
    <sheet name="Santi" sheetId="7" state="hidden" r:id="rId5"/>
    <sheet name="Elisa" sheetId="8"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11" l="1"/>
  <c r="E22" i="11" s="1"/>
  <c r="E29" i="11" s="1"/>
  <c r="E36" i="11" s="1"/>
  <c r="E64" i="11"/>
  <c r="K25" i="10" l="1"/>
  <c r="J9" i="10"/>
  <c r="K9" i="10" s="1"/>
  <c r="H13" i="10" s="1"/>
  <c r="I13" i="10" s="1"/>
  <c r="J13" i="10" s="1"/>
  <c r="K13" i="10" s="1"/>
  <c r="G17" i="10" s="1"/>
  <c r="H17" i="10" s="1"/>
  <c r="I17" i="10" s="1"/>
  <c r="J17" i="10" s="1"/>
  <c r="K17" i="10" s="1"/>
  <c r="G21" i="10" s="1"/>
  <c r="H21" i="10" s="1"/>
  <c r="I21" i="10" s="1"/>
  <c r="J21" i="10" s="1"/>
  <c r="K21" i="10" s="1"/>
  <c r="G25" i="10" s="1"/>
  <c r="H25" i="10" s="1"/>
  <c r="I25" i="10" s="1"/>
  <c r="J25" i="10" s="1"/>
  <c r="G29" i="10"/>
  <c r="H29" i="10" s="1"/>
  <c r="J29" i="10" s="1"/>
  <c r="K29" i="10" s="1"/>
  <c r="G33" i="10" s="1"/>
  <c r="F17" i="10"/>
  <c r="F21" i="10" s="1"/>
  <c r="F25" i="10" s="1"/>
  <c r="F29" i="10" s="1"/>
  <c r="F33" i="10" s="1"/>
  <c r="F13" i="10"/>
  <c r="H9" i="10"/>
  <c r="I9" i="10" s="1"/>
  <c r="F13" i="4"/>
  <c r="F17" i="4" s="1"/>
  <c r="F21" i="4" s="1"/>
  <c r="F25" i="4" s="1"/>
  <c r="F29" i="4" s="1"/>
  <c r="F33" i="4" s="1"/>
  <c r="H9" i="4"/>
  <c r="I9" i="4" s="1"/>
  <c r="K9" i="4" s="1"/>
  <c r="G13" i="4" s="1"/>
  <c r="H13" i="4" s="1"/>
  <c r="I13" i="4" s="1"/>
  <c r="J13" i="4" s="1"/>
  <c r="K13" i="4" s="1"/>
  <c r="G17" i="4" s="1"/>
  <c r="H17" i="4" s="1"/>
  <c r="I17" i="4" s="1"/>
  <c r="J17" i="4" s="1"/>
  <c r="K17" i="4" s="1"/>
  <c r="G21" i="4" s="1"/>
  <c r="H21" i="4" s="1"/>
  <c r="I21" i="4" s="1"/>
  <c r="J21" i="4" s="1"/>
  <c r="K21" i="4" s="1"/>
  <c r="G25" i="4" s="1"/>
  <c r="H25" i="4" s="1"/>
  <c r="I25" i="4" s="1"/>
  <c r="J25" i="4" s="1"/>
  <c r="G29" i="4" s="1"/>
  <c r="H29" i="4" s="1"/>
  <c r="I29" i="4" s="1"/>
  <c r="J29" i="4" s="1"/>
  <c r="K29" i="4" s="1"/>
  <c r="G33" i="4" s="1"/>
  <c r="G9" i="11" l="1"/>
  <c r="H9" i="11" s="1"/>
  <c r="I9" i="11" s="1"/>
  <c r="J9" i="11" s="1"/>
  <c r="F16" i="11" s="1"/>
  <c r="G16" i="11" s="1"/>
  <c r="H16" i="11" s="1"/>
  <c r="I16" i="11" s="1"/>
  <c r="J16" i="11" s="1"/>
  <c r="F22" i="11" s="1"/>
  <c r="G22" i="11" s="1"/>
  <c r="H22" i="11" s="1"/>
  <c r="I22" i="11" s="1"/>
  <c r="J22" i="11" s="1"/>
  <c r="F29" i="11" s="1"/>
  <c r="G29" i="11" s="1"/>
  <c r="H29" i="11" s="1"/>
  <c r="I29" i="11" s="1"/>
  <c r="J29" i="11" s="1"/>
  <c r="F36" i="11" s="1"/>
  <c r="G36" i="11" s="1"/>
  <c r="H36" i="11" s="1"/>
  <c r="I36" i="11" s="1"/>
  <c r="J36" i="11" s="1"/>
  <c r="F43" i="11" s="1"/>
  <c r="G43" i="11" l="1"/>
  <c r="H43" i="11" s="1"/>
  <c r="I43" i="11" s="1"/>
  <c r="J43" i="11" s="1"/>
  <c r="F50" i="11" s="1"/>
  <c r="G50" i="11" s="1"/>
  <c r="H50" i="11" s="1"/>
  <c r="I50" i="11" s="1"/>
  <c r="J50" i="11" s="1"/>
  <c r="F57" i="11" s="1"/>
  <c r="G57" i="11" s="1"/>
  <c r="H57" i="11" s="1"/>
  <c r="I57" i="11" s="1"/>
  <c r="J57" i="11" s="1"/>
  <c r="F64" i="11" s="1"/>
  <c r="G64" i="11" s="1"/>
  <c r="H64" i="11" s="1"/>
  <c r="I64" i="11" s="1"/>
  <c r="J64"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I26" authorId="0" shapeId="0" xr:uid="{12C0AC2A-8742-5D47-BCF4-9412B297B352}">
      <text>
        <r>
          <rPr>
            <sz val="10"/>
            <color rgb="FF000000"/>
            <rFont val="Tahoma"/>
            <family val="2"/>
          </rPr>
          <t>(Tendremos Encuesta Organizacional pero faltará Encuesta Procesos)</t>
        </r>
      </text>
    </comment>
    <comment ref="J26" authorId="0" shapeId="0" xr:uid="{93CF53F5-4F87-0D46-8105-06919D23DD7D}">
      <text>
        <r>
          <rPr>
            <sz val="10"/>
            <color rgb="FF000000"/>
            <rFont val="Tahoma"/>
            <family val="2"/>
          </rPr>
          <t>Mitad de Febrero deberiamos tener claro nuestro set de hipotesis validadas/rechazadas por los datos, para que solo falte validar con ciente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I26" authorId="0" shapeId="0" xr:uid="{59018DFA-9195-924A-BF65-5A143C83D75A}">
      <text>
        <r>
          <rPr>
            <sz val="10"/>
            <color rgb="FF000000"/>
            <rFont val="Tahoma"/>
            <family val="2"/>
          </rPr>
          <t>(Tendremos Encuesta Organizacional pero faltará Encuesta Procesos)</t>
        </r>
      </text>
    </comment>
    <comment ref="J26" authorId="0" shapeId="0" xr:uid="{9015C124-1AEE-7A43-9F44-7053AF216395}">
      <text>
        <r>
          <rPr>
            <sz val="10"/>
            <color rgb="FF000000"/>
            <rFont val="Tahoma"/>
            <family val="2"/>
          </rPr>
          <t>Mitad de Febrero deberiamos tener claro nuestro set de hipotesis validadas/rechazadas por los datos, para que solo falte validar con ciente</t>
        </r>
      </text>
    </comment>
  </commentList>
</comments>
</file>

<file path=xl/sharedStrings.xml><?xml version="1.0" encoding="utf-8"?>
<sst xmlns="http://schemas.openxmlformats.org/spreadsheetml/2006/main" count="332" uniqueCount="258">
  <si>
    <t>RFI ACP</t>
  </si>
  <si>
    <t>Proyecto: AC0101</t>
  </si>
  <si>
    <t>Fecha: 08/08/2023</t>
  </si>
  <si>
    <t>Fuente: Experiencia SummaPartners</t>
  </si>
  <si>
    <t>1.</t>
  </si>
  <si>
    <t>Frentes y Responsables</t>
  </si>
  <si>
    <t>Frente</t>
  </si>
  <si>
    <t>Owner</t>
  </si>
  <si>
    <t>Prioridad</t>
  </si>
  <si>
    <t>Hipotesis</t>
  </si>
  <si>
    <t>Analisis</t>
  </si>
  <si>
    <t>Status</t>
  </si>
  <si>
    <t>RFI</t>
  </si>
  <si>
    <t>Lo tenemos</t>
  </si>
  <si>
    <t>Ingresos</t>
  </si>
  <si>
    <t>OD</t>
  </si>
  <si>
    <t>La rentabilidad de los contratos iria cayendo en el tiempo, teniendo incluso contratos que no valdría la pena operar</t>
  </si>
  <si>
    <t>Validado y Listo - Revisar Ingreso y Costo directo por contrato y hacer lista de contratos por año, ordenados por margen bruto</t>
  </si>
  <si>
    <t>Listo</t>
  </si>
  <si>
    <t>Información sobre los contratos de perforación actuales y pasados: m2 a perforar, precio, duración</t>
  </si>
  <si>
    <t>Tenemos 2020 - 2023</t>
  </si>
  <si>
    <t>Operadores y equipos asignados por contrato</t>
  </si>
  <si>
    <t>No hay dato de operadores asignados por contrato</t>
  </si>
  <si>
    <t>Datos de costos operativos, incluidos los costos laborales y de equipos.</t>
  </si>
  <si>
    <t xml:space="preserve">Sí </t>
  </si>
  <si>
    <t>Precio ofrecido en contratos no estaría formulado en base a costos reales que demandan los proyectos de perforación</t>
  </si>
  <si>
    <t>Validado e Iniciado - Entender como se calcula el pricing y generar modelo simplificado pero MECE que permita sensibilizar supuestos.</t>
  </si>
  <si>
    <t>Se validó que el modelo de pricing de AC es lo suficientemente robusto, pero le falta considerar: aumento de precios de aceros, costos de mantenimiento, entre otros.</t>
  </si>
  <si>
    <t>Operadores y equipos propuestos en licitación</t>
  </si>
  <si>
    <t>No hay dato de operadores y equipos asignados para licitación</t>
  </si>
  <si>
    <t>A pesar de contar con buenos contratos, las condiciones comerciales (plazos de ejecución, plazos de pago) estarian afectando la caja
(Abrir en 2)</t>
  </si>
  <si>
    <t>No validado - Modelar impacto financiero en la caja sensibilizando fechas de inicio y término.</t>
  </si>
  <si>
    <t>Pendiente</t>
  </si>
  <si>
    <t>Información sobre los contratos de perforación actuales y pasados: obligaciones y clausulas</t>
  </si>
  <si>
    <t>No hay dato sobre clausulas y condiciones de los contratos</t>
  </si>
  <si>
    <t>Productividad de los activos</t>
  </si>
  <si>
    <t>Las maquinas presentarian fallas operativas, producto de un mantenimiento preventivo deficiente</t>
  </si>
  <si>
    <t>No validado - Calcular evolutivo de productividad de maquinas (m2 perforados/driver).
Contrastar con gasto historico en mantenimiento como % de la actividad de la compañía (gasto/ingreso)</t>
  </si>
  <si>
    <t>Tenemos 2020 - 2023 anual, falta detalle de avance por mes por proyecto.</t>
  </si>
  <si>
    <t>No hay detalle de que maquina fue asignada a que contrato</t>
  </si>
  <si>
    <t>Flota de maquinas con fechas de compra y mantenimientos</t>
  </si>
  <si>
    <t>Tenemos registro de flota actualizado, y última fecha de  mantenimientos con fecha con duración, status, y fecha programada del siguiente</t>
  </si>
  <si>
    <t>Información sobre vida útil de maquinas y mantenimientos requeridos</t>
  </si>
  <si>
    <t>Sí tenemos vida útil pero no mantenimientos</t>
  </si>
  <si>
    <t>Equipos asignados por contrato</t>
  </si>
  <si>
    <t>No hay información sobre equipos asignados por contrato</t>
  </si>
  <si>
    <t>La mano de obra estaría sub calificada para las operaciones</t>
  </si>
  <si>
    <t>No validado - Calcular evolutivo de productividad de operadores (m2 perforados/driver).
Contrastar con evolutivo de certificaciones
Contrastar con gasto en capacitaciones como % de la actividad de la compañia (gasto/ingreso)
Contrastar con tiempos no productivos (telemetría)
Contrastar con tiempo de licencias</t>
  </si>
  <si>
    <t>No hay dato de operadores asignados por proyecto</t>
  </si>
  <si>
    <t>Información sobre skills requeridos para operar maquinas de perforación</t>
  </si>
  <si>
    <t>Dotación actual con informacion detallada, CV, calificaciones</t>
  </si>
  <si>
    <t xml:space="preserve">Tenemos con cargo, área, tipo de contrato, antigüedad, y finiquito </t>
  </si>
  <si>
    <t>Existiría alta variabilidad operativa en la velocidad de perforación (m por hora)</t>
  </si>
  <si>
    <t>Validado e Iniciado - Calcular velocidad de perforacion por proyecto, ajustado por maquina, tipo de terreno y diametro. Calcular impacto llevando a low performers a X% de top performers</t>
  </si>
  <si>
    <t>Las maquinas presentarían excesivo tiempo no productivo</t>
  </si>
  <si>
    <t>Validado y pendiente - Revisar reportes de telemetría, modelar producción y sensibilizar en base a supuestos. 
En caso de ser necesario, mapear proceso en terreno</t>
  </si>
  <si>
    <t>Reportes de telemetría</t>
  </si>
  <si>
    <t>Si, pero estan en PDF</t>
  </si>
  <si>
    <t xml:space="preserve">Costos de Producción </t>
  </si>
  <si>
    <t>ER</t>
  </si>
  <si>
    <t xml:space="preserve">Los costos productivos de ACP estarían siendo elevados producto de una mala planificación de compra (compra spot) (Baja capacidad de negociación con proveedores, descuentos por volúmen) </t>
  </si>
  <si>
    <t>Validado y Listo - Se hizo un evolutivo de los costos de los insumos principales. Analizar peso de insumos sobre costo de contratos, con el fin de poder ver su incidencia en los precios</t>
  </si>
  <si>
    <t>Inventario mensual de entrada y salida de insumos</t>
  </si>
  <si>
    <t>Lo tenemos anual. Tenemos detalle de compras mensuales por proveedor, responsable, SIN unidades ni SKU</t>
  </si>
  <si>
    <t xml:space="preserve">Histórico mensual de órdenes de compra, incluyendo proveedores, producto, precio y cantidad </t>
  </si>
  <si>
    <t>No</t>
  </si>
  <si>
    <t>Histórico valores de contratos en el tiempo, con los insumos que se necesitan en cada uno</t>
  </si>
  <si>
    <t>Nos falta detalle de producto, precio y cantidad</t>
  </si>
  <si>
    <t>No validado - Validar con entrevistas cuando hemos comprado caro y cuando barato y calcular diferencial, considerando insumos 80/20. Tasa de recurrencia de la compra de esos insumos.</t>
  </si>
  <si>
    <t xml:space="preserve">Particularmente en combustible, consumo sería alto debido a escaso mantenimiento preventivo (filtros, inyectores etc.) </t>
  </si>
  <si>
    <t>No validado - Revisar historico de mantenimiento preventivo realizado a máquinas.
Revisar gasto en mantenimiento.</t>
  </si>
  <si>
    <t>Histórico de mantenimiento preventivo realizado a equipos</t>
  </si>
  <si>
    <t>No. Tenemos reparaciones</t>
  </si>
  <si>
    <t>No validado - Revisar histórico de gasto en combustible en maquinas, dividiendo por el numero de maquinas (considerar aumento de precio en combustible). Ver si existe correlación en ambos análisis</t>
  </si>
  <si>
    <t>Histórico de consumo de combustible y otros insumos (acero, aditivos) por máquina por proyecto</t>
  </si>
  <si>
    <t>Histórico de máquinas asignadas a cada proyecto</t>
  </si>
  <si>
    <t>No - Manual del proveedor</t>
  </si>
  <si>
    <t>Detalle tipos de suelo y proyecto (para definir clusters)</t>
  </si>
  <si>
    <t>Histórico de m2 perforados por proyecto</t>
  </si>
  <si>
    <t xml:space="preserve">Compañía estaría pagando sueldos sobremercado a operadores para asegurar que se queden trabajando en ACP  </t>
  </si>
  <si>
    <t>Descartado - Analizar composición de los equipos para ver si pueden estar sobredotados</t>
  </si>
  <si>
    <t>Histórico de equipos asignados por proyecto</t>
  </si>
  <si>
    <t>Sí - Suponiendo que lo que está en el contrato es lo efectivo</t>
  </si>
  <si>
    <t xml:space="preserve">Descartado - Análisis de variación sueldos y beneficios entregados a trabajadores en el tiempo </t>
  </si>
  <si>
    <t>Histórico de remuneraciones y cantidad de dotación por cargo</t>
  </si>
  <si>
    <t>Nos falta remuneración y beneficios</t>
  </si>
  <si>
    <t xml:space="preserve">GAV </t>
  </si>
  <si>
    <t xml:space="preserve">Compañía no contaría con la estructura para asegurar contratos futuros (estudios y licitaciones) (desafío de la renovación de contratos) </t>
  </si>
  <si>
    <t>Enviada y falta analizar resultados - Realizar encuesta Organizacional</t>
  </si>
  <si>
    <t>Histórico de dotación backoffice</t>
  </si>
  <si>
    <t xml:space="preserve">Compañía carece de procesos de control que permitan tomar acciones correctivas inmediatas para potenciar la productividad </t>
  </si>
  <si>
    <t>Falta armarla y enviarla - Realización encuesta de procesos</t>
  </si>
  <si>
    <t>Detalle de procesos de control de gestión (periodicidad, KPIs, áreas que lo hacen, encargados, etc)</t>
  </si>
  <si>
    <t xml:space="preserve">Compañía ha dejado de invertir en capacitaciones y temas de seguridad lo que implicaría riesgos en el mediano plazo </t>
  </si>
  <si>
    <t xml:space="preserve">No validado - Revisar gasto en capacitaciones historico vs nomina. 
</t>
  </si>
  <si>
    <t>Calendario histórico de capacitaciones realizadas</t>
  </si>
  <si>
    <t xml:space="preserve">No - Tenemos ppts de control de gestión </t>
  </si>
  <si>
    <t>Activo Circulante</t>
  </si>
  <si>
    <t>SB</t>
  </si>
  <si>
    <t>Cobranza de la compañía no estaría ajustada a condiciones comerciales de los contratos, tardando mas tiempo de lo pactado (cobros)</t>
  </si>
  <si>
    <t>Descartada - Todo se factoriza y clientes pagan a tiempo</t>
  </si>
  <si>
    <t>Detalle (flujograma) de procesos de facturación y cobranza</t>
  </si>
  <si>
    <t>Encuesta de satisfacción de clientes sobre el proceso de cobranza</t>
  </si>
  <si>
    <t>Histórico de pagos de cada cliente, con fecha de pago y monto abonado</t>
  </si>
  <si>
    <t xml:space="preserve">Archivo de venta por clientes, confirmar si son los pagos efectivos (o pactados). También podría haber info en los libros de banco. Y solo tenemos 2022-2023 </t>
  </si>
  <si>
    <t>Condiciones comerciales no estarían estandarizadas entre los distintos contratos, habiendo alta dispersión en días de pago (plazos)</t>
  </si>
  <si>
    <t>Validada y listo - Tenemos la dispersión de dias de pago para los contratos actuales. Podemos calcular ahorro en factoring sensibilizando.</t>
  </si>
  <si>
    <t>Histórico de contratos, incluyendo términos de pago acordados</t>
  </si>
  <si>
    <t>No incluye términos de pago</t>
  </si>
  <si>
    <t>No habria una clasificación clara del inventario, y estamos perdiendo la oportunidad de considerar activo fijo en nuestros resultados</t>
  </si>
  <si>
    <t xml:space="preserve">Descartada - Existen clasificaciones, y el activo fijo si está siendo considerado. </t>
  </si>
  <si>
    <t>Registro mensual de inventario, con entradas y salidas de inventario de cada insumo y el costo asociado</t>
  </si>
  <si>
    <t>Tenemos anual</t>
  </si>
  <si>
    <t>Información de proveedores y plazos de entrega para cada uno de los insumos</t>
  </si>
  <si>
    <t>No tenemos el plazo pactado, pero sí el efectivo. Lo tenemos por proveedor</t>
  </si>
  <si>
    <t>Detalle de costos asociados al manejo de inventario (transporte, almacenamiento, etc)</t>
  </si>
  <si>
    <t>Inventario estaria contablemente sobre estimado</t>
  </si>
  <si>
    <t>Validada y pendiente - Calcular el impacto tributario de un castigo de inventario</t>
  </si>
  <si>
    <t>Además, Inventario estaria mal monitoreado, subestimandolo, y comprando de mas</t>
  </si>
  <si>
    <t>Validada y pendiente - Si esta mal monitoreado, pero esta sobrestimado, mostrar cuanto esta sobreestimado. Guillermo ya está gestionando mejores compras .Identificar cuanto tienen, cuanto necesitan y cuanto compran (mensual, por insumo)</t>
  </si>
  <si>
    <t>Compañía tendría excesiva cobertura en facturas operadas con factoring</t>
  </si>
  <si>
    <t>Validada y pendiente - Si, pero ellos ya tienen claro que lo pueden ir bajando . Modelar impacto en costo financiero sensibilizando % de factoring</t>
  </si>
  <si>
    <t xml:space="preserve">Histórico de facturas con factoring, con costo financiero asociado / Histórico de contratos de factoring </t>
  </si>
  <si>
    <t>Sí - indagar con contador</t>
  </si>
  <si>
    <t xml:space="preserve">Compañía estaría sobre utilizando propuestas de pronto pago por los clientes, asumiendo descuentos que impactan excesivamente el resultado de los contratos </t>
  </si>
  <si>
    <t>Descartada</t>
  </si>
  <si>
    <t>Histórico de contratos con clientes, incluyendo términos de pago acordados</t>
  </si>
  <si>
    <t>Pasivo Circulante</t>
  </si>
  <si>
    <t>Habrian posibilidades de seguir mejorando el poder de negociación con proveedores (se ha avanzado 70%, quedaria un 30%)</t>
  </si>
  <si>
    <t>Validada y pendiente - Guillermo lo esta viendo - Revisar gasto pre y post negociación GQ para estimar impacto.
Cuantificar oportunidad de 30% restante para otros insumos/proveedores</t>
  </si>
  <si>
    <t>Histórico de contratos con proveedores, con términos de pago acordados</t>
  </si>
  <si>
    <t>Habrían oportunidades para reestructurar la deuda de la compañía (más a largo plazo) (considerar para modelación financiera)</t>
  </si>
  <si>
    <r>
      <rPr>
        <b/>
        <sz val="11"/>
        <color theme="1" tint="-0.499984740745262"/>
        <rFont val="Arial (Body)"/>
      </rPr>
      <t>Validada y pendiente - Aplicará para modelación financiera - Parametrizar en modelación financiera a 12 meses.</t>
    </r>
    <r>
      <rPr>
        <sz val="11"/>
        <color theme="1" tint="-0.499984740745262"/>
        <rFont val="Arial (Body)"/>
      </rPr>
      <t xml:space="preserve"> Revisar deuda de la compañía, por tipo, institución, tasa y plazo. Calcular duration e impacto mensual como costo financiero. Contrastar con condiciones de mercado actuales y evaluar el renegociar.</t>
    </r>
  </si>
  <si>
    <t>Catálogo de deudas de la compañía, con tablas de desarrollo actualizadas para cada una</t>
  </si>
  <si>
    <t>Tenemos muchos. No sabemos si son todos - indagar con contador</t>
  </si>
  <si>
    <t>Inversiones</t>
  </si>
  <si>
    <t xml:space="preserve">Compañía habría sobre invertido en activos respecto a la capacidad de generación de actividad </t>
  </si>
  <si>
    <r>
      <t xml:space="preserve">Validada y tomada en la ppt - Análizar la rentabilidad de los activos vs márgenes de la industria (ROA) </t>
    </r>
    <r>
      <rPr>
        <b/>
        <sz val="11"/>
        <color theme="1" tint="-0.499984740745262"/>
        <rFont val="Arial (Body)"/>
      </rPr>
      <t>Assets operativos</t>
    </r>
  </si>
  <si>
    <t>Total de activos y utilidad neta</t>
  </si>
  <si>
    <t>Sí</t>
  </si>
  <si>
    <t xml:space="preserve">Histórico de análisis financiero de inversiones </t>
  </si>
  <si>
    <t>Habrían activos  que se deberían poder liquidar</t>
  </si>
  <si>
    <t>Validada y pendiente - Pablo mencionó que hacen este análisis año a año, no tenemos info. Validar listado activos inutilizados que se puedan liquidar. 
Validar activos operativos (camiones y camionetas). 
- Validar con entrevistas si existe exceso de vehículos (y otros). Calcular numero de vehiculos por faena y validar con entrevistas y/o benchmark industria</t>
  </si>
  <si>
    <t>Listado detallado de activos PP&amp;E (incluyendo por referencia de maquinaria, activos en leasing, vehiculos, etc) con detalle del estado de desgaste</t>
  </si>
  <si>
    <t>Existirian multiples activos que estan operativos pero que estarian full depreciados, habiendo espacio para extender vidas utiles</t>
  </si>
  <si>
    <t>Descartada - oportunidad no seria tan grande vs costos de implementación en contabilidad Revalorizar activos para aumentar gasto en depreciación.
Estimar impacto en carga tributaria de la compañía</t>
  </si>
  <si>
    <t xml:space="preserve">Habrían multas (de distinto tipo) que no se están gestionando activamente (negociacion) </t>
  </si>
  <si>
    <t>Análisis de multas y litigios pendientes por resolver</t>
  </si>
  <si>
    <t>Catálogo de multas, litigios y accidentes</t>
  </si>
  <si>
    <t xml:space="preserve">Existirían activos inmobiliarios que no serían parte de la operación normal de la compañía </t>
  </si>
  <si>
    <t>Revisar activos inmobiliarios de la compañía, su uso y necesidad en la operación y sus costos asociados (mantenimiento y contribuciones).</t>
  </si>
  <si>
    <t>Catálogo de activos inmobiliarios de la compañía con categorías de costos asociados</t>
  </si>
  <si>
    <t>Sí. No incluye costos</t>
  </si>
  <si>
    <t>2.</t>
  </si>
  <si>
    <t>Roles</t>
  </si>
  <si>
    <t>Analistas son independientes, autosuficientes y pueden contactar a contrapartes ellos mismos</t>
  </si>
  <si>
    <t>Asociado Sr esta copiado en todo y tambien apoya con analisis</t>
  </si>
  <si>
    <t>VP esta copiado en todo y orienta</t>
  </si>
  <si>
    <t>Socio revisa lo que entregaremos en Comités</t>
  </si>
  <si>
    <t>Proyecto de graduación CD - Planificación y dessarrollo ágil</t>
  </si>
  <si>
    <t>Lunes</t>
  </si>
  <si>
    <t>Martes</t>
  </si>
  <si>
    <t>Miércoles</t>
  </si>
  <si>
    <t>Jueves</t>
  </si>
  <si>
    <t>Viernes</t>
  </si>
  <si>
    <t>Foco Trabajo</t>
  </si>
  <si>
    <t>Septiembre</t>
  </si>
  <si>
    <t>Revisión E1 con Ayudante</t>
  </si>
  <si>
    <t>Reunión con contra parte</t>
  </si>
  <si>
    <t>Presentación y Entrega Hito 1</t>
  </si>
  <si>
    <t>Trabajo pre-Entrega 2</t>
  </si>
  <si>
    <t>Entrega Hito 1</t>
  </si>
  <si>
    <t>Preparación entrega 2</t>
  </si>
  <si>
    <t>Trabajo de desarrollo</t>
  </si>
  <si>
    <t>Monitorear desarrollo de piloto</t>
  </si>
  <si>
    <t>Trabajo presentación/entregas</t>
  </si>
  <si>
    <t>Reuniones contraparte</t>
  </si>
  <si>
    <t>Update equipo docente</t>
  </si>
  <si>
    <t>Reuniones equipo docente</t>
  </si>
  <si>
    <t>Incorporar refinamiento con casas cerradas</t>
  </si>
  <si>
    <t>Semana de Receso</t>
  </si>
  <si>
    <t>Definir el plan de implementación para modelo de ilícitos sea durable en el tiempo</t>
  </si>
  <si>
    <t>Generar nuevos casos de potenciales ilícitos con información del mes de junio</t>
  </si>
  <si>
    <t>Reunión contraparte, update proyecto</t>
  </si>
  <si>
    <t>Preparación entrega 3</t>
  </si>
  <si>
    <t>Feedback pre entrega</t>
  </si>
  <si>
    <t>Incorporar nuevos casos a inspección en terreno</t>
  </si>
  <si>
    <t>Documentacion del modelo generado</t>
  </si>
  <si>
    <t>Octubre</t>
  </si>
  <si>
    <t>Vacaciones contraparte</t>
  </si>
  <si>
    <t>Presentación entrega 3</t>
  </si>
  <si>
    <t>Planificación - Suralis</t>
  </si>
  <si>
    <t>Mes</t>
  </si>
  <si>
    <t>Sem</t>
  </si>
  <si>
    <t>Febrero</t>
  </si>
  <si>
    <t>Loop Organizacional</t>
  </si>
  <si>
    <t>Loop Procesos</t>
  </si>
  <si>
    <t>Loop Iniciativas</t>
  </si>
  <si>
    <t>Reunión de Seguimiento</t>
  </si>
  <si>
    <t>SteerCos</t>
  </si>
  <si>
    <t>Primera versión listado de iniciativas priorizadas e impactos</t>
  </si>
  <si>
    <t>Validaciones internas</t>
  </si>
  <si>
    <t>Validaciones externas</t>
  </si>
  <si>
    <t>Segunda versión listado de iniciativas priorizadas e impactos</t>
  </si>
  <si>
    <t>Kickoff Proyecto</t>
  </si>
  <si>
    <t>Envio Encuesta Organizacional</t>
  </si>
  <si>
    <t>Fecha límite para terminar análisis iniciativas, definir listado y medir impacto iniciativas</t>
  </si>
  <si>
    <t>Fecha límite para responder Encuesta Organizacional</t>
  </si>
  <si>
    <t>Primera versión Loop Oportunidades - Client Ready</t>
  </si>
  <si>
    <t>Envío Encuesta Procesos</t>
  </si>
  <si>
    <t>Primera versión Loop Organizacional - Client Ready</t>
  </si>
  <si>
    <t>Revisión SteerCo#1 Parte 1 con Richi (solo Diagnóstico Organizacional)</t>
  </si>
  <si>
    <t>Revisión SteerCo#1 Parte 2 con Richi (Oportunidades de optimización)</t>
  </si>
  <si>
    <t>Segunda versión Loop Organizacional - Client Ready</t>
  </si>
  <si>
    <t>Segunda versión Loop de Oportunidades - Client Ready</t>
  </si>
  <si>
    <t>Fecha límite para responder Encuesta de Procesos</t>
  </si>
  <si>
    <t>Marzo</t>
  </si>
  <si>
    <t>Primera versión Loop de Procesos - Client Ready</t>
  </si>
  <si>
    <t>Validación Final SteerCo#1 Parte 1 con Richi (Diagnóstico Organizacional + Diagnóstico Procesos)</t>
  </si>
  <si>
    <t>Validación Final SteerCo#1 Parte 2 con Richi</t>
  </si>
  <si>
    <t>Segunda versión Loop de Procesos - Client Ready</t>
  </si>
  <si>
    <t>Última versión Loop Organizacional - Client Ready</t>
  </si>
  <si>
    <t>Última versión Loop de Oportunidades - Client Ready</t>
  </si>
  <si>
    <t>Última versión Loop de Procesos - Client Ready</t>
  </si>
  <si>
    <t>SteerCo #1 - Parte 1: Diagnóstico Organizacional y de Procesos</t>
  </si>
  <si>
    <t>SteerCo #1 - Parte 2: Oportunidades de optimización de resultados</t>
  </si>
  <si>
    <t xml:space="preserve">Acordar principales entregables </t>
  </si>
  <si>
    <t>Acordar planificación a alto nivel</t>
  </si>
  <si>
    <t>Enviar ambas encuestas el 20 de Febrero</t>
  </si>
  <si>
    <t>Coordinar vacaciones equipo</t>
  </si>
  <si>
    <t>Coordinar visitas a terreno</t>
  </si>
  <si>
    <t>Foco de esta semana:</t>
  </si>
  <si>
    <t>&gt; Generar AF y empezar a validar/desechar hipotesis</t>
  </si>
  <si>
    <t>&gt; Conseguir RFI ASAP</t>
  </si>
  <si>
    <t>&gt; Generar Encuesta Organizacional</t>
  </si>
  <si>
    <t>&gt; Generar Encuesta de Procesos</t>
  </si>
  <si>
    <t>X1</t>
  </si>
  <si>
    <t>X2</t>
  </si>
  <si>
    <t>X3</t>
  </si>
  <si>
    <t>Abril</t>
  </si>
  <si>
    <t>Steerco #2 Seguimiento al avance y diseño de soluciones preliminares</t>
  </si>
  <si>
    <t>Mayo</t>
  </si>
  <si>
    <t>Steerco #3 Cierre de Sistema organizacional, procesos clave, oportunidades de eficiencia y plan de implementación. Validación de habilitadores</t>
  </si>
  <si>
    <t>Bodegueros/Encargados no estarian anotando salidas de inventario, lo que estaria generando:</t>
  </si>
  <si>
    <t>Menos costeo del real, inflando rentabilidad</t>
  </si>
  <si>
    <t>Calcular rentabilidad real</t>
  </si>
  <si>
    <t>Inflando inventario, afectando gestión de compra</t>
  </si>
  <si>
    <t>Estimar efecto en gestion de compra</t>
  </si>
  <si>
    <t>Insumos reutilizables</t>
  </si>
  <si>
    <t>Se costearian los 5 ahora</t>
  </si>
  <si>
    <t>Me sobran 3</t>
  </si>
  <si>
    <t>Se que tengo 3</t>
  </si>
  <si>
    <t>Contablemente es un poco complejo pero ellos lo entienden</t>
  </si>
  <si>
    <t>No habria oportunidad</t>
  </si>
  <si>
    <t>Debemos recibir la base de compra detallada por SKU, cantidad y proveedor</t>
  </si>
  <si>
    <t>Debemos ajustar por crecimiento en precio del acero/dólar</t>
  </si>
  <si>
    <t>Una vez limpios, debemos entender mas en detalle los crecimientos, sera que hay proveedores mas caros? Sera que dentro de un mismo proveedor hay variabilidad? (en este ultimo caso se cumplirira la hipotesis de que es mas caro comprar spot</t>
  </si>
  <si>
    <t>Entrega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</si>
</sst>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m"/>
  </numFmts>
  <fonts count="32">
    <font>
      <sz val="12"/>
      <color theme="1"/>
      <name val="Arial"/>
      <family val="2"/>
    </font>
    <font>
      <sz val="12"/>
      <color theme="1"/>
      <name val="Arial"/>
      <family val="2"/>
      <scheme val="minor"/>
    </font>
    <font>
      <b/>
      <sz val="14"/>
      <color theme="1"/>
      <name val="Arial"/>
      <family val="2"/>
    </font>
    <font>
      <sz val="14"/>
      <color theme="0"/>
      <name val="Arial"/>
      <family val="2"/>
    </font>
    <font>
      <b/>
      <sz val="12"/>
      <color theme="0"/>
      <name val="Arial"/>
      <family val="2"/>
      <scheme val="minor"/>
    </font>
    <font>
      <b/>
      <sz val="12"/>
      <color theme="1"/>
      <name val="Arial"/>
      <family val="2"/>
      <scheme val="minor"/>
    </font>
    <font>
      <sz val="12"/>
      <color theme="0"/>
      <name val="Arial"/>
      <family val="2"/>
      <scheme val="minor"/>
    </font>
    <font>
      <b/>
      <sz val="10"/>
      <color theme="1"/>
      <name val="Arial"/>
      <family val="2"/>
      <scheme val="minor"/>
    </font>
    <font>
      <sz val="10"/>
      <color theme="1"/>
      <name val="Arial"/>
      <family val="2"/>
      <scheme val="minor"/>
    </font>
    <font>
      <b/>
      <sz val="10"/>
      <color theme="0"/>
      <name val="Arial"/>
      <family val="2"/>
      <scheme val="minor"/>
    </font>
    <font>
      <sz val="12"/>
      <color rgb="FF454645"/>
      <name val="Arial"/>
      <family val="2"/>
    </font>
    <font>
      <b/>
      <sz val="11"/>
      <color theme="0"/>
      <name val="Arial"/>
      <family val="2"/>
    </font>
    <font>
      <sz val="11"/>
      <color theme="1" tint="-0.499984740745262"/>
      <name val="Arial (Body)"/>
    </font>
    <font>
      <b/>
      <sz val="11"/>
      <color theme="1" tint="-0.499984740745262"/>
      <name val="Arial (Body)"/>
    </font>
    <font>
      <sz val="11"/>
      <color theme="1"/>
      <name val="Arial"/>
      <family val="2"/>
    </font>
    <font>
      <b/>
      <sz val="11"/>
      <color theme="1"/>
      <name val="Arial"/>
      <family val="2"/>
    </font>
    <font>
      <sz val="10"/>
      <color theme="1"/>
      <name val="Arial"/>
      <family val="2"/>
    </font>
    <font>
      <sz val="12"/>
      <color theme="1" tint="-0.499984740745262"/>
      <name val="Arial (Body)"/>
    </font>
    <font>
      <sz val="11"/>
      <color theme="1"/>
      <name val="Arial"/>
      <family val="2"/>
      <scheme val="minor"/>
    </font>
    <font>
      <b/>
      <sz val="10"/>
      <color theme="0"/>
      <name val="Arial"/>
      <family val="2"/>
    </font>
    <font>
      <sz val="10"/>
      <color rgb="FF000000"/>
      <name val="Tahoma"/>
      <family val="2"/>
    </font>
    <font>
      <sz val="12"/>
      <color rgb="FF374151"/>
      <name val="Arial"/>
      <family val="2"/>
    </font>
    <font>
      <sz val="10"/>
      <color theme="0"/>
      <name val="Arial"/>
      <family val="2"/>
      <scheme val="minor"/>
    </font>
    <font>
      <sz val="12"/>
      <color theme="0"/>
      <name val="Arial (Cuerpo)"/>
    </font>
    <font>
      <b/>
      <sz val="12"/>
      <color theme="0"/>
      <name val="Arial (Cuerpo)"/>
    </font>
    <font>
      <sz val="12"/>
      <color theme="1"/>
      <name val="Arial (Cuerpo)"/>
    </font>
    <font>
      <sz val="14"/>
      <color theme="1"/>
      <name val="Arial"/>
      <family val="2"/>
    </font>
    <font>
      <i/>
      <sz val="12"/>
      <color theme="1"/>
      <name val="Arial (Cuerpo)"/>
    </font>
    <font>
      <sz val="12"/>
      <color theme="0"/>
      <name val="Arial"/>
      <family val="2"/>
    </font>
    <font>
      <b/>
      <sz val="12"/>
      <color theme="1"/>
      <name val="Arial"/>
      <family val="2"/>
    </font>
    <font>
      <sz val="20"/>
      <color theme="0"/>
      <name val="Arial"/>
      <family val="2"/>
    </font>
    <font>
      <sz val="12"/>
      <color theme="1"/>
      <name val="Arial"/>
      <scheme val="minor"/>
    </font>
  </fonts>
  <fills count="18">
    <fill>
      <patternFill patternType="none"/>
    </fill>
    <fill>
      <patternFill patternType="gray125"/>
    </fill>
    <fill>
      <patternFill patternType="solid">
        <fgColor theme="4"/>
        <bgColor indexed="64"/>
      </patternFill>
    </fill>
    <fill>
      <patternFill patternType="solid">
        <fgColor theme="9"/>
        <bgColor indexed="64"/>
      </patternFill>
    </fill>
    <fill>
      <patternFill patternType="solid">
        <fgColor theme="7"/>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6" tint="0.59999389629810485"/>
        <bgColor indexed="64"/>
      </patternFill>
    </fill>
    <fill>
      <patternFill patternType="solid">
        <fgColor theme="2" tint="0.39997558519241921"/>
        <bgColor indexed="64"/>
      </patternFill>
    </fill>
    <fill>
      <patternFill patternType="solid">
        <fgColor theme="3"/>
        <bgColor indexed="64"/>
      </patternFill>
    </fill>
    <fill>
      <patternFill patternType="solid">
        <fgColor theme="5"/>
        <bgColor indexed="64"/>
      </patternFill>
    </fill>
    <fill>
      <patternFill patternType="solid">
        <fgColor theme="6"/>
        <bgColor indexed="64"/>
      </patternFill>
    </fill>
    <fill>
      <patternFill patternType="solid">
        <fgColor theme="0"/>
        <bgColor indexed="64"/>
      </patternFill>
    </fill>
    <fill>
      <patternFill patternType="solid">
        <fgColor theme="2" tint="-0.499984740745262"/>
        <bgColor indexed="64"/>
      </patternFill>
    </fill>
  </fills>
  <borders count="3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theme="1"/>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s>
  <cellStyleXfs count="1">
    <xf numFmtId="0" fontId="0" fillId="0" borderId="0"/>
  </cellStyleXfs>
  <cellXfs count="295">
    <xf numFmtId="0" fontId="0" fillId="0" borderId="0" xfId="0"/>
    <xf numFmtId="0" fontId="0" fillId="2" borderId="0" xfId="0" applyFill="1"/>
    <xf numFmtId="0" fontId="2" fillId="0" borderId="0" xfId="0" applyFont="1"/>
    <xf numFmtId="0" fontId="0" fillId="0" borderId="1" xfId="0" applyBorder="1"/>
    <xf numFmtId="0" fontId="2" fillId="0" borderId="1" xfId="0" applyFont="1" applyBorder="1"/>
    <xf numFmtId="0" fontId="3" fillId="3" borderId="0" xfId="0" quotePrefix="1" applyFont="1" applyFill="1"/>
    <xf numFmtId="0" fontId="0" fillId="2" borderId="0" xfId="0" applyFill="1" applyAlignment="1">
      <alignment vertical="center"/>
    </xf>
    <xf numFmtId="0" fontId="0" fillId="2" borderId="0" xfId="0" applyFill="1" applyAlignment="1">
      <alignment vertical="center" wrapText="1"/>
    </xf>
    <xf numFmtId="0" fontId="0" fillId="0" borderId="0" xfId="0" applyAlignment="1">
      <alignment vertical="center"/>
    </xf>
    <xf numFmtId="0" fontId="2" fillId="0" borderId="0" xfId="0" applyFont="1" applyAlignment="1">
      <alignment vertical="center"/>
    </xf>
    <xf numFmtId="0" fontId="0" fillId="0" borderId="0" xfId="0"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6" xfId="0" applyBorder="1" applyAlignment="1">
      <alignment vertical="center"/>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5" fillId="5" borderId="8" xfId="0" applyFont="1" applyFill="1" applyBorder="1" applyAlignment="1">
      <alignment horizontal="center" vertical="center"/>
    </xf>
    <xf numFmtId="0" fontId="5" fillId="5" borderId="9" xfId="0" applyFont="1" applyFill="1" applyBorder="1" applyAlignment="1">
      <alignment horizontal="center" vertical="center"/>
    </xf>
    <xf numFmtId="0" fontId="5" fillId="0" borderId="0" xfId="0" applyFont="1" applyAlignment="1">
      <alignment horizontal="left" vertical="center"/>
    </xf>
    <xf numFmtId="0" fontId="8" fillId="0" borderId="3" xfId="0" applyFont="1" applyBorder="1" applyAlignment="1">
      <alignment vertical="center" wrapText="1"/>
    </xf>
    <xf numFmtId="0" fontId="5" fillId="0" borderId="0" xfId="0" applyFont="1" applyAlignment="1">
      <alignment vertical="center"/>
    </xf>
    <xf numFmtId="0" fontId="8" fillId="0" borderId="4" xfId="0" applyFont="1" applyBorder="1" applyAlignment="1">
      <alignment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0" fontId="8" fillId="0" borderId="0" xfId="0" applyFont="1" applyAlignment="1">
      <alignment horizontal="left" vertical="center" wrapText="1"/>
    </xf>
    <xf numFmtId="0" fontId="7" fillId="0" borderId="5" xfId="0" applyFont="1" applyBorder="1" applyAlignment="1">
      <alignment vertical="center" wrapText="1"/>
    </xf>
    <xf numFmtId="0" fontId="5" fillId="5" borderId="13" xfId="0" applyFont="1" applyFill="1" applyBorder="1" applyAlignment="1">
      <alignment horizontal="center" vertical="center"/>
    </xf>
    <xf numFmtId="0" fontId="5" fillId="5" borderId="2" xfId="0" applyFont="1" applyFill="1" applyBorder="1" applyAlignment="1">
      <alignment horizontal="center" vertical="center"/>
    </xf>
    <xf numFmtId="0" fontId="5" fillId="5" borderId="14" xfId="0" applyFont="1" applyFill="1" applyBorder="1" applyAlignment="1">
      <alignment horizontal="center" vertical="center"/>
    </xf>
    <xf numFmtId="0" fontId="10" fillId="0" borderId="0" xfId="0" applyFont="1" applyAlignment="1">
      <alignment vertical="center"/>
    </xf>
    <xf numFmtId="0" fontId="11" fillId="2" borderId="0" xfId="0" applyFont="1" applyFill="1" applyAlignment="1">
      <alignment horizontal="center"/>
    </xf>
    <xf numFmtId="0" fontId="12" fillId="0" borderId="2" xfId="0" applyFont="1" applyBorder="1" applyAlignment="1">
      <alignment horizontal="left" vertical="center" wrapText="1" readingOrder="1"/>
    </xf>
    <xf numFmtId="0" fontId="12" fillId="0" borderId="2" xfId="0" applyFont="1" applyBorder="1" applyAlignment="1">
      <alignment horizontal="left" vertical="center" wrapText="1"/>
    </xf>
    <xf numFmtId="0" fontId="12" fillId="0" borderId="2" xfId="0" applyFont="1" applyBorder="1" applyAlignment="1">
      <alignment wrapText="1"/>
    </xf>
    <xf numFmtId="0" fontId="14" fillId="0" borderId="0" xfId="0" applyFont="1"/>
    <xf numFmtId="0" fontId="14" fillId="8" borderId="0" xfId="0" applyFont="1" applyFill="1"/>
    <xf numFmtId="0" fontId="12" fillId="0" borderId="2" xfId="0" applyFont="1" applyBorder="1" applyAlignment="1">
      <alignment horizontal="center" vertical="center" wrapText="1"/>
    </xf>
    <xf numFmtId="0" fontId="12" fillId="0" borderId="2" xfId="0" applyFont="1" applyBorder="1"/>
    <xf numFmtId="0" fontId="12" fillId="0" borderId="4" xfId="0" applyFont="1" applyBorder="1" applyAlignment="1">
      <alignment horizontal="center" vertical="center" wrapText="1" readingOrder="1"/>
    </xf>
    <xf numFmtId="0" fontId="12" fillId="0" borderId="4" xfId="0" applyFont="1" applyBorder="1" applyAlignment="1">
      <alignment wrapText="1"/>
    </xf>
    <xf numFmtId="0" fontId="12" fillId="0" borderId="2" xfId="0" applyFont="1" applyBorder="1" applyAlignment="1">
      <alignment horizontal="left" vertical="center" readingOrder="1"/>
    </xf>
    <xf numFmtId="0" fontId="12" fillId="0" borderId="2" xfId="0" applyFont="1" applyBorder="1" applyAlignment="1">
      <alignment vertical="center"/>
    </xf>
    <xf numFmtId="0" fontId="12" fillId="0" borderId="3" xfId="0" applyFont="1" applyBorder="1" applyAlignment="1">
      <alignment vertical="center" wrapText="1" readingOrder="1"/>
    </xf>
    <xf numFmtId="0" fontId="12" fillId="0" borderId="2" xfId="0" applyFont="1" applyBorder="1" applyAlignment="1">
      <alignment vertical="center" wrapText="1"/>
    </xf>
    <xf numFmtId="0" fontId="12" fillId="0" borderId="2" xfId="0" applyFont="1" applyBorder="1" applyAlignment="1">
      <alignment vertical="center" wrapText="1" readingOrder="1"/>
    </xf>
    <xf numFmtId="0" fontId="12" fillId="0" borderId="2" xfId="0" applyFont="1" applyBorder="1" applyAlignment="1">
      <alignment vertical="center" readingOrder="1"/>
    </xf>
    <xf numFmtId="0" fontId="15" fillId="0" borderId="1" xfId="0" applyFont="1" applyBorder="1"/>
    <xf numFmtId="0" fontId="14" fillId="0" borderId="1" xfId="0" applyFont="1" applyBorder="1"/>
    <xf numFmtId="0" fontId="12" fillId="0" borderId="2" xfId="0" applyFont="1" applyBorder="1" applyAlignment="1">
      <alignment horizontal="center" vertical="center"/>
    </xf>
    <xf numFmtId="0" fontId="16" fillId="0" borderId="0" xfId="0" applyFont="1" applyAlignment="1">
      <alignment vertical="center" wrapText="1"/>
    </xf>
    <xf numFmtId="0" fontId="13" fillId="0" borderId="2" xfId="0" applyFont="1" applyBorder="1" applyAlignment="1">
      <alignment horizontal="left" vertical="center" readingOrder="1"/>
    </xf>
    <xf numFmtId="0" fontId="13" fillId="0" borderId="2" xfId="0" applyFont="1" applyBorder="1" applyAlignment="1">
      <alignment vertical="center" wrapText="1"/>
    </xf>
    <xf numFmtId="0" fontId="12" fillId="0" borderId="2" xfId="0" applyFont="1" applyBorder="1" applyAlignment="1">
      <alignment horizontal="center" vertical="center" wrapText="1" readingOrder="1"/>
    </xf>
    <xf numFmtId="0" fontId="14" fillId="0" borderId="0" xfId="0" applyFont="1" applyAlignment="1">
      <alignment wrapText="1"/>
    </xf>
    <xf numFmtId="0" fontId="17" fillId="0" borderId="5" xfId="0" applyFont="1" applyBorder="1" applyAlignment="1">
      <alignment vertical="center" wrapText="1" readingOrder="1"/>
    </xf>
    <xf numFmtId="0" fontId="14" fillId="0" borderId="2" xfId="0" applyFont="1" applyBorder="1"/>
    <xf numFmtId="0" fontId="14" fillId="0" borderId="2" xfId="0" applyFont="1" applyBorder="1" applyAlignment="1">
      <alignment wrapText="1"/>
    </xf>
    <xf numFmtId="0" fontId="14" fillId="0" borderId="2" xfId="0" applyFont="1" applyBorder="1" applyAlignment="1">
      <alignment horizontal="center" vertical="center"/>
    </xf>
    <xf numFmtId="0" fontId="0" fillId="0" borderId="0" xfId="0" applyAlignment="1">
      <alignment horizontal="left" indent="1"/>
    </xf>
    <xf numFmtId="0" fontId="12" fillId="0" borderId="3" xfId="0" applyFont="1" applyBorder="1" applyAlignment="1">
      <alignment horizontal="left" vertical="center" wrapText="1" readingOrder="1"/>
    </xf>
    <xf numFmtId="0" fontId="12" fillId="0" borderId="4" xfId="0" applyFont="1" applyBorder="1" applyAlignment="1">
      <alignment horizontal="left" vertical="center" wrapText="1" readingOrder="1"/>
    </xf>
    <xf numFmtId="0" fontId="13" fillId="0" borderId="3" xfId="0" applyFont="1" applyBorder="1" applyAlignment="1">
      <alignment horizontal="left" vertical="center" wrapText="1"/>
    </xf>
    <xf numFmtId="0" fontId="13" fillId="0" borderId="4" xfId="0" applyFont="1" applyBorder="1" applyAlignment="1">
      <alignment horizontal="left" vertical="center" wrapText="1"/>
    </xf>
    <xf numFmtId="0" fontId="13" fillId="0" borderId="5" xfId="0" applyFont="1" applyBorder="1" applyAlignment="1">
      <alignment horizontal="left" vertical="center" wrapText="1"/>
    </xf>
    <xf numFmtId="0" fontId="15" fillId="0" borderId="3" xfId="0" applyFont="1" applyBorder="1" applyAlignment="1">
      <alignment horizontal="left" vertical="center" wrapText="1"/>
    </xf>
    <xf numFmtId="0" fontId="15" fillId="0" borderId="4" xfId="0" applyFont="1" applyBorder="1" applyAlignment="1">
      <alignment horizontal="left" vertical="center" wrapText="1"/>
    </xf>
    <xf numFmtId="0" fontId="15" fillId="0" borderId="4" xfId="0" applyFont="1" applyBorder="1" applyAlignment="1">
      <alignment horizontal="left" vertical="center"/>
    </xf>
    <xf numFmtId="0" fontId="15" fillId="0" borderId="5" xfId="0" applyFont="1" applyBorder="1" applyAlignment="1">
      <alignment horizontal="left" vertical="center"/>
    </xf>
    <xf numFmtId="0" fontId="13" fillId="0" borderId="2" xfId="0" applyFont="1" applyBorder="1" applyAlignment="1">
      <alignment horizontal="left" vertical="center" wrapText="1"/>
    </xf>
    <xf numFmtId="0" fontId="15" fillId="0" borderId="2" xfId="0" applyFont="1" applyBorder="1" applyAlignment="1">
      <alignment wrapText="1"/>
    </xf>
    <xf numFmtId="0" fontId="13" fillId="0" borderId="3" xfId="0" applyFont="1" applyBorder="1" applyAlignment="1">
      <alignment horizontal="left" vertical="center" wrapText="1" readingOrder="1"/>
    </xf>
    <xf numFmtId="0" fontId="13" fillId="0" borderId="4" xfId="0" applyFont="1" applyBorder="1" applyAlignment="1">
      <alignment horizontal="left" vertical="center" wrapText="1" readingOrder="1"/>
    </xf>
    <xf numFmtId="0" fontId="13" fillId="0" borderId="5" xfId="0" applyFont="1" applyBorder="1" applyAlignment="1">
      <alignment horizontal="left" vertical="center" wrapText="1" readingOrder="1"/>
    </xf>
    <xf numFmtId="0" fontId="13" fillId="0" borderId="2" xfId="0" applyFont="1" applyBorder="1" applyAlignment="1">
      <alignment horizontal="left" vertical="center" wrapText="1" readingOrder="1"/>
    </xf>
    <xf numFmtId="0" fontId="13" fillId="0" borderId="3" xfId="0" applyFont="1" applyBorder="1" applyAlignment="1">
      <alignment vertical="center" wrapText="1" readingOrder="1"/>
    </xf>
    <xf numFmtId="0" fontId="13" fillId="9" borderId="2" xfId="0" applyFont="1" applyFill="1" applyBorder="1" applyAlignment="1">
      <alignment horizontal="left" vertical="center" wrapText="1"/>
    </xf>
    <xf numFmtId="0" fontId="13" fillId="7" borderId="2" xfId="0" applyFont="1" applyFill="1" applyBorder="1" applyAlignment="1">
      <alignment vertical="center" wrapText="1"/>
    </xf>
    <xf numFmtId="0" fontId="13" fillId="10" borderId="2" xfId="0" applyFont="1" applyFill="1" applyBorder="1" applyAlignment="1">
      <alignment vertical="center" wrapText="1"/>
    </xf>
    <xf numFmtId="0" fontId="12" fillId="10" borderId="2" xfId="0" applyFont="1" applyFill="1" applyBorder="1" applyAlignment="1">
      <alignment vertical="center" wrapText="1"/>
    </xf>
    <xf numFmtId="0" fontId="4" fillId="4" borderId="5" xfId="0" applyFont="1" applyFill="1" applyBorder="1" applyAlignment="1">
      <alignment vertical="center" textRotation="90"/>
    </xf>
    <xf numFmtId="0" fontId="18" fillId="0" borderId="10" xfId="0" applyFont="1" applyBorder="1" applyAlignment="1">
      <alignment vertical="center"/>
    </xf>
    <xf numFmtId="0" fontId="1" fillId="0" borderId="10" xfId="0" applyFont="1" applyBorder="1" applyAlignment="1">
      <alignment vertical="center"/>
    </xf>
    <xf numFmtId="0" fontId="8" fillId="0" borderId="3" xfId="0" quotePrefix="1" applyFont="1" applyBorder="1" applyAlignment="1">
      <alignment horizontal="left" vertical="center" wrapText="1"/>
    </xf>
    <xf numFmtId="0" fontId="8" fillId="0" borderId="10" xfId="0" applyFont="1" applyBorder="1" applyAlignment="1">
      <alignment horizontal="left" vertical="center" wrapText="1"/>
    </xf>
    <xf numFmtId="0" fontId="16" fillId="0" borderId="4" xfId="0" applyFont="1" applyBorder="1" applyAlignment="1">
      <alignment vertical="center" wrapText="1"/>
    </xf>
    <xf numFmtId="0" fontId="8" fillId="0" borderId="10" xfId="0" applyFont="1" applyBorder="1" applyAlignment="1">
      <alignment vertical="center"/>
    </xf>
    <xf numFmtId="0" fontId="8" fillId="0" borderId="4" xfId="0" applyFont="1" applyBorder="1" applyAlignment="1">
      <alignment vertical="center"/>
    </xf>
    <xf numFmtId="0" fontId="0" fillId="0" borderId="5" xfId="0" applyBorder="1" applyAlignment="1">
      <alignment vertical="center" wrapText="1"/>
    </xf>
    <xf numFmtId="0" fontId="8" fillId="0" borderId="8" xfId="0" quotePrefix="1" applyFont="1" applyBorder="1" applyAlignment="1">
      <alignment horizontal="left" vertical="center" wrapText="1"/>
    </xf>
    <xf numFmtId="0" fontId="9" fillId="0" borderId="8" xfId="0" quotePrefix="1" applyFont="1" applyBorder="1" applyAlignment="1">
      <alignment horizontal="center" vertical="center" wrapText="1"/>
    </xf>
    <xf numFmtId="0" fontId="8" fillId="0" borderId="4" xfId="0" quotePrefix="1" applyFont="1" applyBorder="1" applyAlignment="1">
      <alignment horizontal="left" vertical="center" wrapText="1"/>
    </xf>
    <xf numFmtId="0" fontId="8" fillId="0" borderId="0" xfId="0" applyFont="1" applyAlignment="1">
      <alignment vertical="center"/>
    </xf>
    <xf numFmtId="0" fontId="8" fillId="0" borderId="10" xfId="0" applyFont="1" applyBorder="1" applyAlignment="1">
      <alignment vertical="center" wrapText="1"/>
    </xf>
    <xf numFmtId="0" fontId="7" fillId="0" borderId="11" xfId="0" applyFont="1" applyBorder="1" applyAlignment="1">
      <alignment vertical="center" wrapText="1"/>
    </xf>
    <xf numFmtId="0" fontId="7" fillId="0" borderId="4" xfId="0" applyFont="1" applyBorder="1" applyAlignment="1">
      <alignment vertical="center" wrapText="1"/>
    </xf>
    <xf numFmtId="0" fontId="0" fillId="0" borderId="4" xfId="0" applyBorder="1" applyAlignment="1">
      <alignment vertical="center" wrapText="1"/>
    </xf>
    <xf numFmtId="0" fontId="8" fillId="0" borderId="5" xfId="0" applyFont="1" applyBorder="1" applyAlignment="1">
      <alignment vertical="center" wrapText="1"/>
    </xf>
    <xf numFmtId="0" fontId="7" fillId="0" borderId="1" xfId="0" applyFont="1" applyBorder="1" applyAlignment="1">
      <alignment vertical="center" wrapText="1"/>
    </xf>
    <xf numFmtId="0" fontId="0" fillId="0" borderId="8" xfId="0" applyBorder="1" applyAlignment="1">
      <alignment vertical="center" wrapText="1"/>
    </xf>
    <xf numFmtId="0" fontId="8" fillId="0" borderId="12" xfId="0" applyFont="1" applyBorder="1" applyAlignment="1">
      <alignment vertical="center" wrapText="1"/>
    </xf>
    <xf numFmtId="0" fontId="0" fillId="0" borderId="12" xfId="0" applyBorder="1" applyAlignment="1">
      <alignment vertical="center" wrapText="1"/>
    </xf>
    <xf numFmtId="0" fontId="7" fillId="0" borderId="13" xfId="0" applyFont="1" applyBorder="1" applyAlignment="1">
      <alignment vertical="center" wrapText="1"/>
    </xf>
    <xf numFmtId="0" fontId="0" fillId="0" borderId="13" xfId="0" applyBorder="1" applyAlignment="1">
      <alignment vertical="center" wrapText="1"/>
    </xf>
    <xf numFmtId="0" fontId="9" fillId="0" borderId="4" xfId="0" quotePrefix="1" applyFont="1" applyBorder="1" applyAlignment="1">
      <alignment horizontal="center" vertical="center" wrapText="1"/>
    </xf>
    <xf numFmtId="0" fontId="8" fillId="8" borderId="3" xfId="0" applyFont="1" applyFill="1" applyBorder="1" applyAlignment="1">
      <alignment vertical="center" wrapText="1"/>
    </xf>
    <xf numFmtId="0" fontId="19" fillId="3" borderId="3" xfId="0" applyFont="1" applyFill="1" applyBorder="1" applyAlignment="1">
      <alignment vertical="center" wrapText="1"/>
    </xf>
    <xf numFmtId="0" fontId="8" fillId="8" borderId="15" xfId="0" applyFont="1" applyFill="1" applyBorder="1" applyAlignment="1">
      <alignment vertical="center" wrapText="1"/>
    </xf>
    <xf numFmtId="0" fontId="8" fillId="8" borderId="7" xfId="0" applyFont="1" applyFill="1" applyBorder="1" applyAlignment="1">
      <alignment vertical="center" wrapText="1"/>
    </xf>
    <xf numFmtId="0" fontId="7" fillId="6" borderId="4" xfId="0" quotePrefix="1" applyFont="1" applyFill="1" applyBorder="1" applyAlignment="1">
      <alignment horizontal="left" vertical="center" wrapText="1"/>
    </xf>
    <xf numFmtId="0" fontId="7" fillId="6" borderId="4" xfId="0" applyFont="1" applyFill="1" applyBorder="1" applyAlignment="1">
      <alignment vertical="center" wrapText="1"/>
    </xf>
    <xf numFmtId="0" fontId="7" fillId="6" borderId="10" xfId="0" quotePrefix="1" applyFont="1" applyFill="1" applyBorder="1" applyAlignment="1">
      <alignment horizontal="left" vertical="center" wrapText="1"/>
    </xf>
    <xf numFmtId="0" fontId="0" fillId="0" borderId="10" xfId="0" applyBorder="1" applyAlignment="1">
      <alignment vertical="center" wrapText="1"/>
    </xf>
    <xf numFmtId="0" fontId="0" fillId="0" borderId="11" xfId="0" applyBorder="1" applyAlignment="1">
      <alignment vertical="center" wrapText="1"/>
    </xf>
    <xf numFmtId="0" fontId="5" fillId="5" borderId="3" xfId="0" applyFont="1" applyFill="1" applyBorder="1" applyAlignment="1">
      <alignment horizontal="center" vertical="center"/>
    </xf>
    <xf numFmtId="0" fontId="8" fillId="6" borderId="3" xfId="0" quotePrefix="1" applyFont="1" applyFill="1" applyBorder="1" applyAlignment="1">
      <alignment horizontal="left" vertical="center" wrapText="1"/>
    </xf>
    <xf numFmtId="0" fontId="8" fillId="6" borderId="4" xfId="0" quotePrefix="1" applyFont="1" applyFill="1" applyBorder="1" applyAlignment="1">
      <alignment horizontal="left" vertical="center" wrapText="1"/>
    </xf>
    <xf numFmtId="0" fontId="7" fillId="9" borderId="3" xfId="0" applyFont="1" applyFill="1" applyBorder="1" applyAlignment="1">
      <alignment vertical="center" wrapText="1"/>
    </xf>
    <xf numFmtId="0" fontId="7" fillId="9" borderId="4" xfId="0" quotePrefix="1" applyFont="1" applyFill="1" applyBorder="1" applyAlignment="1">
      <alignment horizontal="left" vertical="center" wrapText="1"/>
    </xf>
    <xf numFmtId="0" fontId="7" fillId="9" borderId="3" xfId="0" quotePrefix="1" applyFont="1" applyFill="1" applyBorder="1" applyAlignment="1">
      <alignment horizontal="left" vertical="center" wrapText="1"/>
    </xf>
    <xf numFmtId="0" fontId="7" fillId="11" borderId="3" xfId="0" applyFont="1" applyFill="1" applyBorder="1" applyAlignment="1">
      <alignment vertical="center" wrapText="1"/>
    </xf>
    <xf numFmtId="0" fontId="7" fillId="11" borderId="4" xfId="0" quotePrefix="1" applyFont="1" applyFill="1" applyBorder="1" applyAlignment="1">
      <alignment horizontal="left" vertical="center" wrapText="1"/>
    </xf>
    <xf numFmtId="0" fontId="7" fillId="11" borderId="3" xfId="0" quotePrefix="1" applyFont="1" applyFill="1" applyBorder="1" applyAlignment="1">
      <alignment horizontal="left" vertical="center" wrapText="1"/>
    </xf>
    <xf numFmtId="0" fontId="7" fillId="11" borderId="5" xfId="0" applyFont="1" applyFill="1" applyBorder="1" applyAlignment="1">
      <alignment vertical="center" wrapText="1"/>
    </xf>
    <xf numFmtId="0" fontId="9" fillId="2" borderId="8" xfId="0" quotePrefix="1" applyFont="1" applyFill="1" applyBorder="1" applyAlignment="1">
      <alignment horizontal="left" vertical="center" wrapText="1"/>
    </xf>
    <xf numFmtId="0" fontId="8" fillId="6" borderId="2" xfId="0" quotePrefix="1" applyFont="1" applyFill="1" applyBorder="1" applyAlignment="1">
      <alignment horizontal="left" vertical="center" wrapText="1"/>
    </xf>
    <xf numFmtId="0" fontId="7" fillId="9" borderId="2" xfId="0" applyFont="1" applyFill="1" applyBorder="1" applyAlignment="1">
      <alignment vertical="center" wrapText="1"/>
    </xf>
    <xf numFmtId="0" fontId="7" fillId="11" borderId="2" xfId="0" quotePrefix="1" applyFont="1" applyFill="1" applyBorder="1" applyAlignment="1">
      <alignment horizontal="left" vertical="center" wrapText="1"/>
    </xf>
    <xf numFmtId="0" fontId="19" fillId="3" borderId="2" xfId="0" applyFont="1" applyFill="1" applyBorder="1" applyAlignment="1">
      <alignment vertical="center" wrapText="1"/>
    </xf>
    <xf numFmtId="0" fontId="8" fillId="8" borderId="2" xfId="0" applyFont="1" applyFill="1" applyBorder="1" applyAlignment="1">
      <alignment vertical="center" wrapText="1"/>
    </xf>
    <xf numFmtId="0" fontId="0" fillId="12" borderId="2" xfId="0" applyFill="1" applyBorder="1" applyAlignment="1">
      <alignment vertical="center"/>
    </xf>
    <xf numFmtId="0" fontId="21" fillId="0" borderId="0" xfId="0" applyFont="1"/>
    <xf numFmtId="0" fontId="7" fillId="0" borderId="10" xfId="0" quotePrefix="1" applyFont="1" applyBorder="1" applyAlignment="1">
      <alignment horizontal="left" vertical="center" wrapText="1"/>
    </xf>
    <xf numFmtId="0" fontId="7" fillId="0" borderId="3" xfId="0" quotePrefix="1" applyFont="1" applyBorder="1" applyAlignment="1">
      <alignment horizontal="left" vertical="center" wrapText="1"/>
    </xf>
    <xf numFmtId="0" fontId="19" fillId="0" borderId="3" xfId="0" applyFont="1" applyBorder="1" applyAlignment="1">
      <alignment vertical="center" wrapText="1"/>
    </xf>
    <xf numFmtId="0" fontId="7" fillId="0" borderId="4" xfId="0" quotePrefix="1" applyFont="1" applyBorder="1" applyAlignment="1">
      <alignment horizontal="left" vertical="center" wrapText="1"/>
    </xf>
    <xf numFmtId="0" fontId="8" fillId="0" borderId="7" xfId="0" applyFont="1" applyBorder="1" applyAlignment="1">
      <alignment vertical="center" wrapText="1"/>
    </xf>
    <xf numFmtId="0" fontId="7" fillId="0" borderId="3" xfId="0" applyFont="1" applyBorder="1" applyAlignment="1">
      <alignment vertical="center" wrapText="1"/>
    </xf>
    <xf numFmtId="0" fontId="8" fillId="0" borderId="15" xfId="0" applyFont="1" applyBorder="1" applyAlignment="1">
      <alignment vertical="center" wrapText="1"/>
    </xf>
    <xf numFmtId="0" fontId="9" fillId="0" borderId="8" xfId="0" quotePrefix="1" applyFont="1" applyBorder="1" applyAlignment="1">
      <alignment horizontal="left" vertical="center" wrapText="1"/>
    </xf>
    <xf numFmtId="0" fontId="9" fillId="3" borderId="8" xfId="0" quotePrefix="1" applyFont="1" applyFill="1" applyBorder="1" applyAlignment="1">
      <alignment horizontal="left" vertical="center" wrapText="1"/>
    </xf>
    <xf numFmtId="0" fontId="9" fillId="3" borderId="3" xfId="0" applyFont="1" applyFill="1" applyBorder="1" applyAlignment="1">
      <alignment vertical="center" wrapText="1"/>
    </xf>
    <xf numFmtId="0" fontId="0" fillId="13" borderId="2" xfId="0" applyFill="1" applyBorder="1" applyAlignment="1">
      <alignment vertical="center"/>
    </xf>
    <xf numFmtId="0" fontId="22" fillId="13" borderId="3" xfId="0" applyFont="1" applyFill="1" applyBorder="1" applyAlignment="1">
      <alignment vertical="center" wrapText="1"/>
    </xf>
    <xf numFmtId="0" fontId="23" fillId="2" borderId="7" xfId="0" applyFont="1" applyFill="1" applyBorder="1" applyAlignment="1">
      <alignment horizontal="center" vertical="center"/>
    </xf>
    <xf numFmtId="0" fontId="23" fillId="2" borderId="8" xfId="0" applyFont="1" applyFill="1" applyBorder="1" applyAlignment="1">
      <alignment horizontal="center" vertical="center"/>
    </xf>
    <xf numFmtId="0" fontId="0" fillId="14" borderId="0" xfId="0" applyFill="1"/>
    <xf numFmtId="0" fontId="0" fillId="15" borderId="0" xfId="0" applyFill="1"/>
    <xf numFmtId="0" fontId="0" fillId="4" borderId="0" xfId="0" applyFill="1" applyAlignment="1">
      <alignment vertical="center"/>
    </xf>
    <xf numFmtId="0" fontId="0" fillId="3" borderId="0" xfId="0" applyFill="1"/>
    <xf numFmtId="0" fontId="26" fillId="2" borderId="0" xfId="0" applyFont="1" applyFill="1" applyAlignment="1">
      <alignment vertical="center"/>
    </xf>
    <xf numFmtId="0" fontId="26" fillId="0" borderId="0" xfId="0" applyFont="1" applyAlignment="1">
      <alignment vertical="center"/>
    </xf>
    <xf numFmtId="0" fontId="26" fillId="0" borderId="0" xfId="0" applyFont="1" applyAlignment="1">
      <alignment vertical="center" wrapText="1"/>
    </xf>
    <xf numFmtId="0" fontId="26" fillId="0" borderId="0" xfId="0" applyFont="1"/>
    <xf numFmtId="164" fontId="27" fillId="5" borderId="2" xfId="0" applyNumberFormat="1" applyFont="1" applyFill="1" applyBorder="1" applyAlignment="1">
      <alignment horizontal="right" vertical="center"/>
    </xf>
    <xf numFmtId="164" fontId="27" fillId="5" borderId="9" xfId="0" applyNumberFormat="1" applyFont="1" applyFill="1" applyBorder="1" applyAlignment="1">
      <alignment horizontal="right" vertical="center"/>
    </xf>
    <xf numFmtId="0" fontId="28" fillId="4" borderId="2" xfId="0" applyFont="1" applyFill="1" applyBorder="1" applyAlignment="1">
      <alignment horizontal="center"/>
    </xf>
    <xf numFmtId="0" fontId="28" fillId="15" borderId="2" xfId="0" applyFont="1" applyFill="1" applyBorder="1" applyAlignment="1">
      <alignment horizontal="center"/>
    </xf>
    <xf numFmtId="0" fontId="28" fillId="3" borderId="2" xfId="0" applyFont="1" applyFill="1" applyBorder="1" applyAlignment="1">
      <alignment horizontal="center"/>
    </xf>
    <xf numFmtId="0" fontId="29" fillId="10" borderId="1" xfId="0" applyFont="1" applyFill="1" applyBorder="1" applyAlignment="1">
      <alignment horizontal="center"/>
    </xf>
    <xf numFmtId="0" fontId="28" fillId="16" borderId="3" xfId="0" applyFont="1" applyFill="1" applyBorder="1" applyAlignment="1">
      <alignment horizontal="center"/>
    </xf>
    <xf numFmtId="0" fontId="28" fillId="16" borderId="8" xfId="0" applyFont="1" applyFill="1" applyBorder="1" applyAlignment="1">
      <alignment horizontal="center"/>
    </xf>
    <xf numFmtId="0" fontId="0" fillId="0" borderId="4" xfId="0" applyBorder="1"/>
    <xf numFmtId="0" fontId="25" fillId="5" borderId="13" xfId="0" applyFont="1" applyFill="1" applyBorder="1" applyAlignment="1">
      <alignment horizontal="left" vertical="center"/>
    </xf>
    <xf numFmtId="164" fontId="27" fillId="5" borderId="13" xfId="0" applyNumberFormat="1" applyFont="1" applyFill="1" applyBorder="1" applyAlignment="1">
      <alignment horizontal="right" vertical="center"/>
    </xf>
    <xf numFmtId="0" fontId="0" fillId="0" borderId="12" xfId="0" applyBorder="1"/>
    <xf numFmtId="0" fontId="25" fillId="5" borderId="12" xfId="0" applyFont="1" applyFill="1" applyBorder="1" applyAlignment="1">
      <alignment horizontal="left" vertical="center"/>
    </xf>
    <xf numFmtId="0" fontId="28" fillId="16" borderId="4" xfId="0" applyFont="1" applyFill="1" applyBorder="1" applyAlignment="1">
      <alignment horizontal="center"/>
    </xf>
    <xf numFmtId="164" fontId="27" fillId="5" borderId="17" xfId="0" applyNumberFormat="1" applyFont="1" applyFill="1" applyBorder="1" applyAlignment="1">
      <alignment horizontal="right" vertical="center"/>
    </xf>
    <xf numFmtId="0" fontId="28" fillId="3" borderId="0" xfId="0" applyFont="1" applyFill="1" applyAlignment="1">
      <alignment horizontal="center"/>
    </xf>
    <xf numFmtId="164" fontId="27" fillId="5" borderId="27" xfId="0" applyNumberFormat="1" applyFont="1" applyFill="1" applyBorder="1" applyAlignment="1">
      <alignment horizontal="right" vertical="center"/>
    </xf>
    <xf numFmtId="0" fontId="0" fillId="0" borderId="19" xfId="0" applyBorder="1"/>
    <xf numFmtId="0" fontId="28" fillId="16" borderId="19" xfId="0" applyFont="1" applyFill="1" applyBorder="1" applyAlignment="1">
      <alignment horizontal="center"/>
    </xf>
    <xf numFmtId="0" fontId="0" fillId="0" borderId="22" xfId="0" applyBorder="1"/>
    <xf numFmtId="0" fontId="25" fillId="5" borderId="12" xfId="0" applyFont="1" applyFill="1" applyBorder="1" applyAlignment="1">
      <alignment vertical="center"/>
    </xf>
    <xf numFmtId="0" fontId="25" fillId="5" borderId="13" xfId="0" applyFont="1" applyFill="1" applyBorder="1" applyAlignment="1">
      <alignment vertical="center"/>
    </xf>
    <xf numFmtId="164" fontId="27" fillId="5" borderId="31" xfId="0" applyNumberFormat="1" applyFont="1" applyFill="1" applyBorder="1" applyAlignment="1">
      <alignment horizontal="right" vertical="center"/>
    </xf>
    <xf numFmtId="164" fontId="27" fillId="5" borderId="32" xfId="0" applyNumberFormat="1" applyFont="1" applyFill="1" applyBorder="1" applyAlignment="1">
      <alignment horizontal="right" vertical="center"/>
    </xf>
    <xf numFmtId="0" fontId="0" fillId="0" borderId="20" xfId="0" applyBorder="1"/>
    <xf numFmtId="0" fontId="0" fillId="0" borderId="21" xfId="0" applyBorder="1"/>
    <xf numFmtId="0" fontId="25" fillId="5" borderId="8" xfId="0" quotePrefix="1" applyFont="1" applyFill="1" applyBorder="1" applyAlignment="1">
      <alignment horizontal="left" vertical="center" wrapText="1"/>
    </xf>
    <xf numFmtId="0" fontId="25" fillId="5" borderId="13" xfId="0" applyFont="1" applyFill="1" applyBorder="1" applyAlignment="1">
      <alignment horizontal="left" vertical="center" wrapText="1"/>
    </xf>
    <xf numFmtId="0" fontId="25" fillId="5" borderId="8" xfId="0" applyFont="1" applyFill="1" applyBorder="1" applyAlignment="1">
      <alignment horizontal="left" vertical="center"/>
    </xf>
    <xf numFmtId="0" fontId="25" fillId="5" borderId="12" xfId="0" applyFont="1" applyFill="1" applyBorder="1" applyAlignment="1">
      <alignment vertical="center" wrapText="1"/>
    </xf>
    <xf numFmtId="0" fontId="23" fillId="2" borderId="33" xfId="0" applyFont="1" applyFill="1" applyBorder="1" applyAlignment="1">
      <alignment horizontal="center" vertical="center"/>
    </xf>
    <xf numFmtId="0" fontId="23" fillId="2" borderId="34" xfId="0" applyFont="1" applyFill="1" applyBorder="1" applyAlignment="1">
      <alignment horizontal="center" vertical="center"/>
    </xf>
    <xf numFmtId="0" fontId="23" fillId="2" borderId="35" xfId="0" applyFont="1" applyFill="1" applyBorder="1" applyAlignment="1">
      <alignment horizontal="center" vertical="center"/>
    </xf>
    <xf numFmtId="164" fontId="27" fillId="5" borderId="36" xfId="0" applyNumberFormat="1" applyFont="1" applyFill="1" applyBorder="1" applyAlignment="1">
      <alignment horizontal="right" vertical="center"/>
    </xf>
    <xf numFmtId="0" fontId="0" fillId="16" borderId="4" xfId="0" applyFill="1" applyBorder="1"/>
    <xf numFmtId="0" fontId="28" fillId="16" borderId="2" xfId="0" applyFont="1" applyFill="1" applyBorder="1" applyAlignment="1">
      <alignment horizontal="center"/>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12" fillId="7" borderId="3" xfId="0" applyFont="1" applyFill="1" applyBorder="1" applyAlignment="1">
      <alignment horizontal="center" vertical="center" wrapText="1"/>
    </xf>
    <xf numFmtId="0" fontId="12" fillId="7" borderId="4"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12" fillId="0" borderId="2" xfId="0" applyFont="1" applyBorder="1" applyAlignment="1">
      <alignment horizontal="center" vertical="center"/>
    </xf>
    <xf numFmtId="0" fontId="12" fillId="0" borderId="2" xfId="0" applyFont="1" applyBorder="1" applyAlignment="1">
      <alignment horizontal="left" vertical="center" wrapText="1" readingOrder="1"/>
    </xf>
    <xf numFmtId="0" fontId="13" fillId="9" borderId="2" xfId="0" applyFont="1" applyFill="1" applyBorder="1" applyAlignment="1">
      <alignment horizontal="left" vertical="center" wrapText="1"/>
    </xf>
    <xf numFmtId="0" fontId="12" fillId="9" borderId="2" xfId="0" applyFont="1" applyFill="1" applyBorder="1" applyAlignment="1">
      <alignment horizontal="left" vertical="center" wrapText="1"/>
    </xf>
    <xf numFmtId="0" fontId="13" fillId="0" borderId="2" xfId="0" applyFont="1" applyBorder="1" applyAlignment="1">
      <alignment horizontal="left" vertical="center" wrapText="1"/>
    </xf>
    <xf numFmtId="0" fontId="12" fillId="0" borderId="2" xfId="0" applyFont="1" applyBorder="1" applyAlignment="1">
      <alignment horizontal="left" vertical="center" wrapText="1"/>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2" xfId="0" applyFont="1" applyBorder="1" applyAlignment="1">
      <alignment horizontal="center" vertical="center" wrapText="1"/>
    </xf>
    <xf numFmtId="0" fontId="15" fillId="0" borderId="3" xfId="0" applyFont="1" applyBorder="1" applyAlignment="1">
      <alignment horizontal="left" vertical="center" wrapText="1"/>
    </xf>
    <xf numFmtId="0" fontId="15" fillId="0" borderId="4" xfId="0" applyFont="1" applyBorder="1" applyAlignment="1">
      <alignment horizontal="left" vertical="center" wrapText="1"/>
    </xf>
    <xf numFmtId="0" fontId="15" fillId="0" borderId="4" xfId="0" applyFont="1" applyBorder="1" applyAlignment="1">
      <alignment horizontal="left" vertical="center"/>
    </xf>
    <xf numFmtId="0" fontId="15" fillId="0" borderId="5" xfId="0" applyFont="1" applyBorder="1" applyAlignment="1">
      <alignment horizontal="left" vertical="center"/>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3" xfId="0" applyFont="1" applyBorder="1" applyAlignment="1">
      <alignment horizontal="center" vertical="center" wrapText="1" readingOrder="1"/>
    </xf>
    <xf numFmtId="0" fontId="12" fillId="0" borderId="4" xfId="0" applyFont="1" applyBorder="1" applyAlignment="1">
      <alignment horizontal="center" vertical="center" wrapText="1" readingOrder="1"/>
    </xf>
    <xf numFmtId="0" fontId="12" fillId="0" borderId="5" xfId="0" applyFont="1" applyBorder="1" applyAlignment="1">
      <alignment horizontal="center" vertical="center" wrapText="1" readingOrder="1"/>
    </xf>
    <xf numFmtId="0" fontId="13" fillId="0" borderId="3" xfId="0" applyFont="1" applyBorder="1" applyAlignment="1">
      <alignment horizontal="left" vertical="center" wrapText="1" readingOrder="1"/>
    </xf>
    <xf numFmtId="0" fontId="13" fillId="0" borderId="4" xfId="0" applyFont="1" applyBorder="1" applyAlignment="1">
      <alignment horizontal="left" vertical="center" wrapText="1" readingOrder="1"/>
    </xf>
    <xf numFmtId="0" fontId="13" fillId="0" borderId="5" xfId="0" applyFont="1" applyBorder="1" applyAlignment="1">
      <alignment horizontal="left" vertical="center" wrapText="1" readingOrder="1"/>
    </xf>
    <xf numFmtId="0" fontId="12" fillId="0" borderId="3" xfId="0" applyFont="1" applyBorder="1" applyAlignment="1">
      <alignment horizontal="left" vertical="center" wrapText="1" readingOrder="1"/>
    </xf>
    <xf numFmtId="0" fontId="12" fillId="0" borderId="4" xfId="0" applyFont="1" applyBorder="1" applyAlignment="1">
      <alignment horizontal="left" vertical="center" wrapText="1" readingOrder="1"/>
    </xf>
    <xf numFmtId="0" fontId="12" fillId="0" borderId="5" xfId="0" applyFont="1" applyBorder="1" applyAlignment="1">
      <alignment horizontal="left" vertical="center" wrapText="1" readingOrder="1"/>
    </xf>
    <xf numFmtId="0" fontId="12" fillId="0" borderId="2" xfId="0" applyFont="1" applyBorder="1" applyAlignment="1">
      <alignment vertical="center" wrapText="1" readingOrder="1"/>
    </xf>
    <xf numFmtId="0" fontId="13" fillId="0" borderId="2" xfId="0" applyFont="1" applyBorder="1" applyAlignment="1">
      <alignment vertical="center" wrapText="1"/>
    </xf>
    <xf numFmtId="0" fontId="13" fillId="0" borderId="3" xfId="0" applyFont="1" applyBorder="1" applyAlignment="1">
      <alignment horizontal="left" vertical="center" wrapText="1"/>
    </xf>
    <xf numFmtId="0" fontId="13" fillId="0" borderId="4" xfId="0" applyFont="1" applyBorder="1" applyAlignment="1">
      <alignment horizontal="left" vertical="center" wrapText="1"/>
    </xf>
    <xf numFmtId="0" fontId="13" fillId="0" borderId="5" xfId="0" applyFont="1" applyBorder="1" applyAlignment="1">
      <alignment horizontal="left" vertical="center" wrapText="1"/>
    </xf>
    <xf numFmtId="0" fontId="12" fillId="0" borderId="2" xfId="0" applyFont="1" applyBorder="1" applyAlignment="1">
      <alignment vertical="center" wrapText="1"/>
    </xf>
    <xf numFmtId="0" fontId="12" fillId="0" borderId="3" xfId="0" applyFont="1" applyBorder="1" applyAlignment="1">
      <alignment vertical="center" wrapText="1" readingOrder="1"/>
    </xf>
    <xf numFmtId="0" fontId="12" fillId="0" borderId="4" xfId="0" applyFont="1" applyBorder="1" applyAlignment="1">
      <alignment vertical="center" wrapText="1" readingOrder="1"/>
    </xf>
    <xf numFmtId="0" fontId="12" fillId="0" borderId="5" xfId="0" applyFont="1" applyBorder="1" applyAlignment="1">
      <alignment vertical="center" wrapText="1" readingOrder="1"/>
    </xf>
    <xf numFmtId="0" fontId="24" fillId="4" borderId="24" xfId="0" applyFont="1" applyFill="1" applyBorder="1" applyAlignment="1">
      <alignment horizontal="center" vertical="center" textRotation="90"/>
    </xf>
    <xf numFmtId="0" fontId="24" fillId="4" borderId="25" xfId="0" applyFont="1" applyFill="1" applyBorder="1" applyAlignment="1">
      <alignment horizontal="center" vertical="center" textRotation="90"/>
    </xf>
    <xf numFmtId="0" fontId="24" fillId="4" borderId="23" xfId="0" applyFont="1" applyFill="1" applyBorder="1" applyAlignment="1">
      <alignment horizontal="center" vertical="center" textRotation="90"/>
    </xf>
    <xf numFmtId="0" fontId="25" fillId="5" borderId="12" xfId="0" applyFont="1" applyFill="1" applyBorder="1" applyAlignment="1">
      <alignment horizontal="left" vertical="center" wrapText="1"/>
    </xf>
    <xf numFmtId="0" fontId="28" fillId="16" borderId="7" xfId="0" applyFont="1" applyFill="1" applyBorder="1" applyAlignment="1">
      <alignment horizontal="center" vertical="center"/>
    </xf>
    <xf numFmtId="0" fontId="28" fillId="16" borderId="15" xfId="0" applyFont="1" applyFill="1" applyBorder="1" applyAlignment="1">
      <alignment horizontal="center" vertical="center"/>
    </xf>
    <xf numFmtId="0" fontId="28" fillId="16" borderId="28" xfId="0" applyFont="1" applyFill="1" applyBorder="1" applyAlignment="1">
      <alignment horizontal="center" vertical="center"/>
    </xf>
    <xf numFmtId="0" fontId="28" fillId="16" borderId="10" xfId="0" applyFont="1" applyFill="1" applyBorder="1" applyAlignment="1">
      <alignment horizontal="center" vertical="center"/>
    </xf>
    <xf numFmtId="0" fontId="28" fillId="16" borderId="0" xfId="0" applyFont="1" applyFill="1" applyAlignment="1">
      <alignment horizontal="center" vertical="center"/>
    </xf>
    <xf numFmtId="0" fontId="28" fillId="16" borderId="19" xfId="0" applyFont="1" applyFill="1" applyBorder="1" applyAlignment="1">
      <alignment horizontal="center" vertical="center"/>
    </xf>
    <xf numFmtId="0" fontId="28" fillId="16" borderId="11" xfId="0" applyFont="1" applyFill="1" applyBorder="1" applyAlignment="1">
      <alignment horizontal="center" vertical="center"/>
    </xf>
    <xf numFmtId="0" fontId="28" fillId="16" borderId="1" xfId="0" applyFont="1" applyFill="1" applyBorder="1" applyAlignment="1">
      <alignment horizontal="center" vertical="center"/>
    </xf>
    <xf numFmtId="0" fontId="28" fillId="16" borderId="29" xfId="0" applyFont="1" applyFill="1" applyBorder="1" applyAlignment="1">
      <alignment horizontal="center" vertical="center"/>
    </xf>
    <xf numFmtId="0" fontId="28" fillId="16" borderId="8" xfId="0" applyFont="1" applyFill="1" applyBorder="1" applyAlignment="1">
      <alignment horizontal="center" vertical="center"/>
    </xf>
    <xf numFmtId="0" fontId="28" fillId="16" borderId="12" xfId="0" applyFont="1" applyFill="1" applyBorder="1" applyAlignment="1">
      <alignment horizontal="center" vertical="center"/>
    </xf>
    <xf numFmtId="0" fontId="28" fillId="16" borderId="13" xfId="0" applyFont="1" applyFill="1" applyBorder="1" applyAlignment="1">
      <alignment horizontal="center" vertical="center"/>
    </xf>
    <xf numFmtId="0" fontId="24" fillId="4" borderId="30" xfId="0" applyFont="1" applyFill="1" applyBorder="1" applyAlignment="1">
      <alignment horizontal="center" vertical="center" textRotation="90"/>
    </xf>
    <xf numFmtId="0" fontId="28" fillId="16" borderId="3" xfId="0" applyFont="1" applyFill="1" applyBorder="1" applyAlignment="1">
      <alignment horizontal="center" vertical="center" wrapText="1"/>
    </xf>
    <xf numFmtId="0" fontId="28" fillId="16" borderId="5" xfId="0" applyFont="1" applyFill="1" applyBorder="1" applyAlignment="1">
      <alignment horizontal="center" vertical="center" wrapText="1"/>
    </xf>
    <xf numFmtId="0" fontId="28" fillId="4" borderId="3" xfId="0" applyFont="1" applyFill="1" applyBorder="1" applyAlignment="1">
      <alignment horizontal="center" vertical="center"/>
    </xf>
    <xf numFmtId="0" fontId="28" fillId="4" borderId="5" xfId="0" applyFont="1" applyFill="1" applyBorder="1" applyAlignment="1">
      <alignment horizontal="center" vertical="center"/>
    </xf>
    <xf numFmtId="0" fontId="28" fillId="14" borderId="16" xfId="0" applyFont="1" applyFill="1" applyBorder="1" applyAlignment="1">
      <alignment horizontal="center"/>
    </xf>
    <xf numFmtId="0" fontId="28" fillId="14" borderId="14" xfId="0" applyFont="1" applyFill="1" applyBorder="1" applyAlignment="1">
      <alignment horizontal="center"/>
    </xf>
    <xf numFmtId="0" fontId="28" fillId="14" borderId="32" xfId="0" applyFont="1" applyFill="1" applyBorder="1" applyAlignment="1">
      <alignment horizontal="center"/>
    </xf>
    <xf numFmtId="0" fontId="28" fillId="4" borderId="3" xfId="0" applyFont="1" applyFill="1" applyBorder="1" applyAlignment="1">
      <alignment horizontal="center" vertical="center" wrapText="1"/>
    </xf>
    <xf numFmtId="0" fontId="28" fillId="4" borderId="5" xfId="0" applyFont="1" applyFill="1" applyBorder="1" applyAlignment="1">
      <alignment horizontal="center" vertical="center" wrapText="1"/>
    </xf>
    <xf numFmtId="0" fontId="25" fillId="5" borderId="13" xfId="0" applyFont="1" applyFill="1" applyBorder="1" applyAlignment="1">
      <alignment horizontal="left" vertical="center" wrapText="1"/>
    </xf>
    <xf numFmtId="0" fontId="24" fillId="4" borderId="26" xfId="0" applyFont="1" applyFill="1" applyBorder="1" applyAlignment="1">
      <alignment horizontal="center" vertical="center" textRotation="90"/>
    </xf>
    <xf numFmtId="0" fontId="24" fillId="2" borderId="0" xfId="0" applyFont="1" applyFill="1" applyAlignment="1">
      <alignment horizontal="center" vertical="center" textRotation="90"/>
    </xf>
    <xf numFmtId="0" fontId="28" fillId="15" borderId="1" xfId="0" applyFont="1" applyFill="1" applyBorder="1" applyAlignment="1">
      <alignment horizontal="center"/>
    </xf>
    <xf numFmtId="0" fontId="28" fillId="15" borderId="29" xfId="0" applyFont="1" applyFill="1" applyBorder="1" applyAlignment="1">
      <alignment horizontal="center"/>
    </xf>
    <xf numFmtId="0" fontId="24" fillId="4" borderId="18" xfId="0" applyFont="1" applyFill="1" applyBorder="1" applyAlignment="1">
      <alignment horizontal="center" vertical="center" textRotation="90"/>
    </xf>
    <xf numFmtId="0" fontId="28" fillId="4" borderId="4" xfId="0" applyFont="1" applyFill="1" applyBorder="1" applyAlignment="1">
      <alignment horizontal="center" vertical="center"/>
    </xf>
    <xf numFmtId="0" fontId="28" fillId="16" borderId="37" xfId="0" applyFont="1" applyFill="1" applyBorder="1" applyAlignment="1">
      <alignment horizontal="center" wrapText="1"/>
    </xf>
    <xf numFmtId="0" fontId="28" fillId="16" borderId="36" xfId="0" applyFont="1" applyFill="1" applyBorder="1" applyAlignment="1">
      <alignment horizontal="center" wrapText="1"/>
    </xf>
    <xf numFmtId="0" fontId="25" fillId="5" borderId="12" xfId="0" applyFont="1" applyFill="1" applyBorder="1" applyAlignment="1">
      <alignment horizontal="center" vertical="center" wrapText="1"/>
    </xf>
    <xf numFmtId="0" fontId="30" fillId="17" borderId="7" xfId="0" applyFont="1" applyFill="1" applyBorder="1" applyAlignment="1">
      <alignment horizontal="center" vertical="center"/>
    </xf>
    <xf numFmtId="0" fontId="30" fillId="17" borderId="15" xfId="0" applyFont="1" applyFill="1" applyBorder="1" applyAlignment="1">
      <alignment horizontal="center" vertical="center"/>
    </xf>
    <xf numFmtId="0" fontId="30" fillId="17" borderId="28" xfId="0" applyFont="1" applyFill="1" applyBorder="1" applyAlignment="1">
      <alignment horizontal="center" vertical="center"/>
    </xf>
    <xf numFmtId="0" fontId="30" fillId="17" borderId="10" xfId="0" applyFont="1" applyFill="1" applyBorder="1" applyAlignment="1">
      <alignment horizontal="center" vertical="center"/>
    </xf>
    <xf numFmtId="0" fontId="30" fillId="17" borderId="0" xfId="0" applyFont="1" applyFill="1" applyAlignment="1">
      <alignment horizontal="center" vertical="center"/>
    </xf>
    <xf numFmtId="0" fontId="30" fillId="17" borderId="19" xfId="0" applyFont="1" applyFill="1" applyBorder="1" applyAlignment="1">
      <alignment horizontal="center" vertical="center"/>
    </xf>
    <xf numFmtId="0" fontId="30" fillId="17" borderId="11" xfId="0" applyFont="1" applyFill="1" applyBorder="1" applyAlignment="1">
      <alignment horizontal="center" vertical="center"/>
    </xf>
    <xf numFmtId="0" fontId="30" fillId="17" borderId="1" xfId="0" applyFont="1" applyFill="1" applyBorder="1" applyAlignment="1">
      <alignment horizontal="center" vertical="center"/>
    </xf>
    <xf numFmtId="0" fontId="30" fillId="17" borderId="29" xfId="0" applyFont="1" applyFill="1" applyBorder="1" applyAlignment="1">
      <alignment horizontal="center" vertical="center"/>
    </xf>
    <xf numFmtId="0" fontId="7" fillId="5" borderId="3" xfId="0" quotePrefix="1" applyFont="1" applyFill="1" applyBorder="1" applyAlignment="1">
      <alignment horizontal="left" vertical="center" wrapText="1"/>
    </xf>
    <xf numFmtId="0" fontId="7" fillId="5" borderId="4" xfId="0" applyFont="1" applyFill="1" applyBorder="1" applyAlignment="1">
      <alignment horizontal="left" vertical="center" wrapText="1"/>
    </xf>
    <xf numFmtId="0" fontId="7" fillId="5" borderId="5" xfId="0" applyFont="1" applyFill="1" applyBorder="1" applyAlignment="1">
      <alignment horizontal="left" vertical="center" wrapText="1"/>
    </xf>
    <xf numFmtId="0" fontId="4" fillId="2" borderId="8" xfId="0" applyFont="1" applyFill="1" applyBorder="1" applyAlignment="1">
      <alignment horizontal="center" vertical="center" textRotation="90"/>
    </xf>
    <xf numFmtId="0" fontId="4" fillId="2" borderId="12" xfId="0" applyFont="1" applyFill="1" applyBorder="1" applyAlignment="1">
      <alignment horizontal="center" vertical="center" textRotation="90"/>
    </xf>
    <xf numFmtId="0" fontId="4" fillId="4" borderId="3" xfId="0" applyFont="1" applyFill="1" applyBorder="1" applyAlignment="1">
      <alignment horizontal="center" vertical="center" textRotation="90"/>
    </xf>
    <xf numFmtId="0" fontId="4" fillId="4" borderId="4" xfId="0" applyFont="1" applyFill="1" applyBorder="1" applyAlignment="1">
      <alignment horizontal="center" vertical="center" textRotation="90"/>
    </xf>
    <xf numFmtId="0" fontId="4" fillId="4" borderId="5" xfId="0" applyFont="1" applyFill="1" applyBorder="1" applyAlignment="1">
      <alignment horizontal="center" vertical="center" textRotation="90"/>
    </xf>
    <xf numFmtId="0" fontId="7" fillId="5" borderId="12" xfId="0" applyFont="1" applyFill="1" applyBorder="1" applyAlignment="1">
      <alignment horizontal="left" vertical="center" wrapText="1"/>
    </xf>
    <xf numFmtId="0" fontId="4" fillId="4" borderId="10" xfId="0" applyFont="1" applyFill="1" applyBorder="1" applyAlignment="1">
      <alignment horizontal="center" vertical="center" textRotation="90"/>
    </xf>
    <xf numFmtId="0" fontId="4" fillId="4" borderId="11" xfId="0" applyFont="1" applyFill="1" applyBorder="1" applyAlignment="1">
      <alignment horizontal="center" vertical="center" textRotation="90"/>
    </xf>
    <xf numFmtId="0" fontId="7" fillId="5" borderId="4" xfId="0" applyFont="1" applyFill="1" applyBorder="1" applyAlignment="1">
      <alignment horizontal="left" vertical="center"/>
    </xf>
    <xf numFmtId="0" fontId="28" fillId="16" borderId="0" xfId="0" applyFont="1" applyFill="1"/>
    <xf numFmtId="0" fontId="0" fillId="16" borderId="8" xfId="0" applyFill="1" applyBorder="1"/>
    <xf numFmtId="0" fontId="31" fillId="16" borderId="12" xfId="0" applyFont="1" applyFill="1" applyBorder="1" applyAlignment="1">
      <alignment horizontal="left" vertical="center" wrapText="1"/>
    </xf>
    <xf numFmtId="0" fontId="28" fillId="16" borderId="37" xfId="0" applyFont="1" applyFill="1" applyBorder="1" applyAlignment="1">
      <alignment horizontal="center" vertical="center" wrapText="1"/>
    </xf>
    <xf numFmtId="0" fontId="28" fillId="16" borderId="36" xfId="0" applyFont="1" applyFill="1" applyBorder="1" applyAlignment="1">
      <alignment horizontal="center" vertical="center" wrapText="1"/>
    </xf>
    <xf numFmtId="0" fontId="28" fillId="16" borderId="3" xfId="0" applyFont="1" applyFill="1" applyBorder="1" applyAlignment="1">
      <alignment horizontal="center" vertical="center"/>
    </xf>
    <xf numFmtId="0" fontId="28" fillId="16" borderId="5" xfId="0" applyFont="1" applyFill="1" applyBorder="1" applyAlignment="1">
      <alignment horizontal="center" vertical="center"/>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5</xdr:col>
      <xdr:colOff>173191</xdr:colOff>
      <xdr:row>4</xdr:row>
      <xdr:rowOff>50800</xdr:rowOff>
    </xdr:from>
    <xdr:to>
      <xdr:col>5</xdr:col>
      <xdr:colOff>179610</xdr:colOff>
      <xdr:row>7</xdr:row>
      <xdr:rowOff>127000</xdr:rowOff>
    </xdr:to>
    <xdr:pic>
      <xdr:nvPicPr>
        <xdr:cNvPr id="2" name="Imagen 1">
          <a:extLst>
            <a:ext uri="{FF2B5EF4-FFF2-40B4-BE49-F238E27FC236}">
              <a16:creationId xmlns:a16="http://schemas.microsoft.com/office/drawing/2014/main" id="{D82A885D-9CB2-2142-8ABB-2209F315A1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7716" y="889000"/>
          <a:ext cx="6419" cy="6858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umma">
  <a:themeElements>
    <a:clrScheme name="Personalizados 3">
      <a:dk1>
        <a:srgbClr val="454645"/>
      </a:dk1>
      <a:lt1>
        <a:srgbClr val="FFFFFF"/>
      </a:lt1>
      <a:dk2>
        <a:srgbClr val="656565"/>
      </a:dk2>
      <a:lt2>
        <a:srgbClr val="B3B3B3"/>
      </a:lt2>
      <a:accent1>
        <a:srgbClr val="014169"/>
      </a:accent1>
      <a:accent2>
        <a:srgbClr val="37968C"/>
      </a:accent2>
      <a:accent3>
        <a:srgbClr val="00C1D5"/>
      </a:accent3>
      <a:accent4>
        <a:srgbClr val="00859B"/>
      </a:accent4>
      <a:accent5>
        <a:srgbClr val="5F92A3"/>
      </a:accent5>
      <a:accent6>
        <a:srgbClr val="78365F"/>
      </a:accent6>
      <a:hlink>
        <a:srgbClr val="793760"/>
      </a:hlink>
      <a:folHlink>
        <a:srgbClr val="7C7C7C"/>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TemplateSumma" id="{6F8EE7A5-4764-1E4D-8746-949324968F4E}" vid="{9A05F2FD-8E09-E04C-8BC7-729680CF6A9D}"/>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B77BD-4CA7-7C42-BDD8-CDD9DBB1507B}">
  <dimension ref="A1:Q89"/>
  <sheetViews>
    <sheetView showGridLines="0" zoomScale="120" zoomScaleNormal="120" workbookViewId="0">
      <selection activeCell="J15" sqref="J15:J17"/>
    </sheetView>
  </sheetViews>
  <sheetFormatPr defaultColWidth="11.5546875" defaultRowHeight="15"/>
  <cols>
    <col min="1" max="1" width="1.109375" style="1" customWidth="1"/>
    <col min="2" max="4" width="1.109375" customWidth="1"/>
    <col min="5" max="5" width="2.88671875" bestFit="1" customWidth="1"/>
    <col min="6" max="6" width="18" customWidth="1"/>
    <col min="7" max="7" width="6.33203125" bestFit="1" customWidth="1"/>
    <col min="8" max="8" width="8.44140625" bestFit="1" customWidth="1"/>
    <col min="9" max="9" width="62" customWidth="1"/>
    <col min="10" max="11" width="68.88671875" customWidth="1"/>
    <col min="12" max="12" width="75.109375" customWidth="1"/>
    <col min="13" max="13" width="117.33203125" bestFit="1" customWidth="1"/>
    <col min="14" max="14" width="6.33203125" bestFit="1" customWidth="1"/>
  </cols>
  <sheetData>
    <row r="1" spans="1:14" s="1" customFormat="1"/>
    <row r="4" spans="1:14" ht="18">
      <c r="D4" s="2" t="s">
        <v>0</v>
      </c>
    </row>
    <row r="6" spans="1:14">
      <c r="D6" t="s">
        <v>1</v>
      </c>
    </row>
    <row r="7" spans="1:14">
      <c r="D7" t="s">
        <v>2</v>
      </c>
    </row>
    <row r="8" spans="1:14">
      <c r="D8" t="s">
        <v>3</v>
      </c>
    </row>
    <row r="9" spans="1:14" s="3" customFormat="1">
      <c r="A9" s="1"/>
      <c r="B9"/>
      <c r="C9"/>
    </row>
    <row r="12" spans="1:14" s="3" customFormat="1" ht="18">
      <c r="A12" s="1"/>
      <c r="B12"/>
      <c r="C12"/>
      <c r="D12"/>
      <c r="E12" s="5" t="s">
        <v>4</v>
      </c>
      <c r="F12" s="4" t="s">
        <v>5</v>
      </c>
      <c r="G12" s="4"/>
      <c r="H12" s="4"/>
    </row>
    <row r="14" spans="1:14" ht="15.75">
      <c r="F14" s="31" t="s">
        <v>6</v>
      </c>
      <c r="G14" s="31" t="s">
        <v>7</v>
      </c>
      <c r="H14" s="31" t="s">
        <v>8</v>
      </c>
      <c r="I14" s="31" t="s">
        <v>9</v>
      </c>
      <c r="J14" s="31" t="s">
        <v>10</v>
      </c>
      <c r="K14" s="31" t="s">
        <v>11</v>
      </c>
      <c r="L14" s="31" t="s">
        <v>12</v>
      </c>
      <c r="M14" s="31" t="s">
        <v>13</v>
      </c>
      <c r="N14" s="31" t="s">
        <v>7</v>
      </c>
    </row>
    <row r="15" spans="1:14">
      <c r="F15" s="196" t="s">
        <v>14</v>
      </c>
      <c r="G15" s="202" t="s">
        <v>15</v>
      </c>
      <c r="H15" s="196">
        <v>1</v>
      </c>
      <c r="I15" s="197" t="s">
        <v>16</v>
      </c>
      <c r="J15" s="198" t="s">
        <v>17</v>
      </c>
      <c r="K15" s="190" t="s">
        <v>18</v>
      </c>
      <c r="L15" s="34" t="s">
        <v>19</v>
      </c>
      <c r="M15" s="35" t="s">
        <v>20</v>
      </c>
      <c r="N15" s="35"/>
    </row>
    <row r="16" spans="1:14">
      <c r="F16" s="196"/>
      <c r="G16" s="203"/>
      <c r="H16" s="196"/>
      <c r="I16" s="197"/>
      <c r="J16" s="199"/>
      <c r="K16" s="191"/>
      <c r="L16" s="34" t="s">
        <v>21</v>
      </c>
      <c r="M16" s="36" t="s">
        <v>22</v>
      </c>
      <c r="N16" s="35"/>
    </row>
    <row r="17" spans="6:14">
      <c r="F17" s="196"/>
      <c r="G17" s="203"/>
      <c r="H17" s="196"/>
      <c r="I17" s="197"/>
      <c r="J17" s="199"/>
      <c r="K17" s="192"/>
      <c r="L17" s="34" t="s">
        <v>23</v>
      </c>
      <c r="M17" s="35" t="s">
        <v>24</v>
      </c>
      <c r="N17" s="35"/>
    </row>
    <row r="18" spans="6:14">
      <c r="F18" s="196"/>
      <c r="G18" s="203"/>
      <c r="H18" s="196">
        <v>2</v>
      </c>
      <c r="I18" s="197" t="s">
        <v>25</v>
      </c>
      <c r="J18" s="198" t="s">
        <v>26</v>
      </c>
      <c r="K18" s="190" t="s">
        <v>27</v>
      </c>
      <c r="L18" s="34" t="s">
        <v>19</v>
      </c>
      <c r="M18" s="35" t="s">
        <v>20</v>
      </c>
      <c r="N18" s="35"/>
    </row>
    <row r="19" spans="6:14">
      <c r="F19" s="196"/>
      <c r="G19" s="203"/>
      <c r="H19" s="196"/>
      <c r="I19" s="197"/>
      <c r="J19" s="198"/>
      <c r="K19" s="191"/>
      <c r="L19" s="34" t="s">
        <v>28</v>
      </c>
      <c r="M19" s="36" t="s">
        <v>29</v>
      </c>
      <c r="N19" s="35"/>
    </row>
    <row r="20" spans="6:14">
      <c r="F20" s="196"/>
      <c r="G20" s="203"/>
      <c r="H20" s="196"/>
      <c r="I20" s="197"/>
      <c r="J20" s="199"/>
      <c r="K20" s="191"/>
      <c r="L20" s="34" t="s">
        <v>21</v>
      </c>
      <c r="M20" s="35" t="s">
        <v>22</v>
      </c>
      <c r="N20" s="35"/>
    </row>
    <row r="21" spans="6:14">
      <c r="F21" s="196"/>
      <c r="G21" s="203"/>
      <c r="H21" s="196"/>
      <c r="I21" s="197"/>
      <c r="J21" s="199"/>
      <c r="K21" s="192"/>
      <c r="L21" s="34" t="s">
        <v>23</v>
      </c>
      <c r="M21" s="35" t="s">
        <v>24</v>
      </c>
      <c r="N21" s="35"/>
    </row>
    <row r="22" spans="6:14">
      <c r="F22" s="196"/>
      <c r="G22" s="203"/>
      <c r="H22" s="196"/>
      <c r="I22" s="197" t="s">
        <v>30</v>
      </c>
      <c r="J22" s="200" t="s">
        <v>31</v>
      </c>
      <c r="K22" s="190" t="s">
        <v>32</v>
      </c>
      <c r="L22" s="34" t="s">
        <v>19</v>
      </c>
      <c r="M22" s="35" t="s">
        <v>20</v>
      </c>
      <c r="N22" s="35"/>
    </row>
    <row r="23" spans="6:14">
      <c r="F23" s="196"/>
      <c r="G23" s="203"/>
      <c r="H23" s="196"/>
      <c r="I23" s="197"/>
      <c r="J23" s="200"/>
      <c r="K23" s="191"/>
      <c r="L23" s="34" t="s">
        <v>33</v>
      </c>
      <c r="M23" s="36" t="s">
        <v>34</v>
      </c>
      <c r="N23" s="35"/>
    </row>
    <row r="24" spans="6:14">
      <c r="F24" s="196"/>
      <c r="G24" s="203"/>
      <c r="H24" s="196"/>
      <c r="I24" s="197"/>
      <c r="J24" s="201"/>
      <c r="K24" s="191"/>
      <c r="L24" s="34" t="s">
        <v>21</v>
      </c>
      <c r="M24" s="35" t="s">
        <v>22</v>
      </c>
      <c r="N24" s="35"/>
    </row>
    <row r="25" spans="6:14">
      <c r="F25" s="196"/>
      <c r="G25" s="204"/>
      <c r="H25" s="196"/>
      <c r="I25" s="197"/>
      <c r="J25" s="201"/>
      <c r="K25" s="192"/>
      <c r="L25" s="34" t="s">
        <v>23</v>
      </c>
      <c r="M25" s="35" t="s">
        <v>24</v>
      </c>
      <c r="N25" s="35"/>
    </row>
    <row r="26" spans="6:14">
      <c r="F26" s="205" t="s">
        <v>35</v>
      </c>
      <c r="G26" s="210" t="s">
        <v>15</v>
      </c>
      <c r="H26" s="205">
        <v>3</v>
      </c>
      <c r="I26" s="197" t="s">
        <v>36</v>
      </c>
      <c r="J26" s="206" t="s">
        <v>37</v>
      </c>
      <c r="K26" s="65"/>
      <c r="L26" s="34" t="s">
        <v>19</v>
      </c>
      <c r="M26" s="36" t="s">
        <v>38</v>
      </c>
      <c r="N26" s="35"/>
    </row>
    <row r="27" spans="6:14">
      <c r="F27" s="205"/>
      <c r="G27" s="211"/>
      <c r="H27" s="205"/>
      <c r="I27" s="197"/>
      <c r="J27" s="207"/>
      <c r="K27" s="66"/>
      <c r="L27" s="34" t="s">
        <v>21</v>
      </c>
      <c r="M27" s="36" t="s">
        <v>39</v>
      </c>
      <c r="N27" s="35"/>
    </row>
    <row r="28" spans="6:14">
      <c r="F28" s="205"/>
      <c r="G28" s="211"/>
      <c r="H28" s="205"/>
      <c r="I28" s="197"/>
      <c r="J28" s="208"/>
      <c r="K28" s="67"/>
      <c r="L28" s="34" t="s">
        <v>40</v>
      </c>
      <c r="M28" s="35" t="s">
        <v>41</v>
      </c>
      <c r="N28" s="35"/>
    </row>
    <row r="29" spans="6:14">
      <c r="F29" s="205"/>
      <c r="G29" s="211"/>
      <c r="H29" s="205"/>
      <c r="I29" s="197"/>
      <c r="J29" s="208"/>
      <c r="K29" s="67"/>
      <c r="L29" s="34" t="s">
        <v>42</v>
      </c>
      <c r="M29" s="35" t="s">
        <v>43</v>
      </c>
      <c r="N29" s="35"/>
    </row>
    <row r="30" spans="6:14">
      <c r="F30" s="205"/>
      <c r="G30" s="211"/>
      <c r="H30" s="205"/>
      <c r="I30" s="197"/>
      <c r="J30" s="209"/>
      <c r="K30" s="68"/>
      <c r="L30" s="34" t="s">
        <v>44</v>
      </c>
      <c r="M30" s="35" t="s">
        <v>45</v>
      </c>
      <c r="N30" s="35"/>
    </row>
    <row r="31" spans="6:14" ht="24" customHeight="1">
      <c r="F31" s="205"/>
      <c r="G31" s="211"/>
      <c r="H31" s="205">
        <v>4</v>
      </c>
      <c r="I31" s="197" t="s">
        <v>46</v>
      </c>
      <c r="J31" s="200" t="s">
        <v>47</v>
      </c>
      <c r="K31" s="69"/>
      <c r="L31" s="34" t="s">
        <v>19</v>
      </c>
      <c r="M31" s="35" t="s">
        <v>38</v>
      </c>
      <c r="N31" s="35"/>
    </row>
    <row r="32" spans="6:14" ht="24" customHeight="1">
      <c r="F32" s="205"/>
      <c r="G32" s="211"/>
      <c r="H32" s="205"/>
      <c r="I32" s="197"/>
      <c r="J32" s="200"/>
      <c r="K32" s="69"/>
      <c r="L32" s="34" t="s">
        <v>21</v>
      </c>
      <c r="M32" s="35" t="s">
        <v>48</v>
      </c>
      <c r="N32" s="35"/>
    </row>
    <row r="33" spans="6:14" ht="24" customHeight="1">
      <c r="F33" s="205"/>
      <c r="G33" s="211"/>
      <c r="H33" s="205"/>
      <c r="I33" s="197"/>
      <c r="J33" s="200"/>
      <c r="K33" s="69"/>
      <c r="L33" s="34" t="s">
        <v>49</v>
      </c>
      <c r="M33" s="35" t="s">
        <v>24</v>
      </c>
      <c r="N33" s="35"/>
    </row>
    <row r="34" spans="6:14" ht="24" customHeight="1">
      <c r="F34" s="205"/>
      <c r="G34" s="211"/>
      <c r="H34" s="205"/>
      <c r="I34" s="197"/>
      <c r="J34" s="200"/>
      <c r="K34" s="69"/>
      <c r="L34" s="34" t="s">
        <v>50</v>
      </c>
      <c r="M34" s="35" t="s">
        <v>51</v>
      </c>
      <c r="N34" s="35"/>
    </row>
    <row r="35" spans="6:14" ht="45">
      <c r="F35" s="205"/>
      <c r="G35" s="211"/>
      <c r="H35" s="37">
        <v>5</v>
      </c>
      <c r="I35" s="32" t="s">
        <v>52</v>
      </c>
      <c r="J35" s="76" t="s">
        <v>53</v>
      </c>
      <c r="K35" s="69"/>
      <c r="L35" s="34" t="s">
        <v>19</v>
      </c>
      <c r="M35" s="35" t="s">
        <v>38</v>
      </c>
      <c r="N35" s="35"/>
    </row>
    <row r="36" spans="6:14" ht="45">
      <c r="F36" s="205"/>
      <c r="G36" s="212"/>
      <c r="H36" s="37">
        <v>6</v>
      </c>
      <c r="I36" s="32" t="s">
        <v>54</v>
      </c>
      <c r="J36" s="69" t="s">
        <v>55</v>
      </c>
      <c r="K36" s="69"/>
      <c r="L36" s="34" t="s">
        <v>56</v>
      </c>
      <c r="M36" s="36" t="s">
        <v>57</v>
      </c>
      <c r="N36" s="35"/>
    </row>
    <row r="37" spans="6:14">
      <c r="F37" s="213" t="s">
        <v>58</v>
      </c>
      <c r="G37" s="213" t="s">
        <v>59</v>
      </c>
      <c r="H37" s="213">
        <v>7</v>
      </c>
      <c r="I37" s="197" t="s">
        <v>60</v>
      </c>
      <c r="J37" s="216" t="s">
        <v>61</v>
      </c>
      <c r="K37" s="60"/>
      <c r="L37" s="38" t="s">
        <v>62</v>
      </c>
      <c r="M37" s="35" t="s">
        <v>63</v>
      </c>
      <c r="N37" s="35"/>
    </row>
    <row r="38" spans="6:14">
      <c r="F38" s="214"/>
      <c r="G38" s="214"/>
      <c r="H38" s="214"/>
      <c r="I38" s="197"/>
      <c r="J38" s="217"/>
      <c r="K38" s="61"/>
      <c r="L38" s="38" t="s">
        <v>64</v>
      </c>
      <c r="M38" s="35" t="s">
        <v>65</v>
      </c>
      <c r="N38" s="35"/>
    </row>
    <row r="39" spans="6:14">
      <c r="F39" s="214"/>
      <c r="G39" s="214"/>
      <c r="H39" s="214"/>
      <c r="I39" s="197"/>
      <c r="J39" s="218"/>
      <c r="K39" s="61"/>
      <c r="L39" s="40" t="s">
        <v>66</v>
      </c>
      <c r="M39" s="35" t="s">
        <v>67</v>
      </c>
      <c r="N39" s="35"/>
    </row>
    <row r="40" spans="6:14" ht="45">
      <c r="F40" s="214"/>
      <c r="G40" s="214"/>
      <c r="H40" s="215"/>
      <c r="I40" s="197"/>
      <c r="J40" s="74" t="s">
        <v>68</v>
      </c>
      <c r="K40" s="74"/>
      <c r="L40" s="38" t="s">
        <v>64</v>
      </c>
      <c r="M40" s="35" t="s">
        <v>65</v>
      </c>
      <c r="N40" s="35"/>
    </row>
    <row r="41" spans="6:14" ht="41.1" customHeight="1">
      <c r="F41" s="214"/>
      <c r="G41" s="214"/>
      <c r="H41" s="213">
        <v>8</v>
      </c>
      <c r="I41" s="219" t="s">
        <v>69</v>
      </c>
      <c r="J41" s="75" t="s">
        <v>70</v>
      </c>
      <c r="K41" s="75"/>
      <c r="L41" s="38" t="s">
        <v>71</v>
      </c>
      <c r="M41" s="35" t="s">
        <v>72</v>
      </c>
      <c r="N41" s="35"/>
    </row>
    <row r="42" spans="6:14">
      <c r="F42" s="214"/>
      <c r="G42" s="214"/>
      <c r="H42" s="214"/>
      <c r="I42" s="220"/>
      <c r="J42" s="216" t="s">
        <v>73</v>
      </c>
      <c r="K42" s="71"/>
      <c r="L42" s="38" t="s">
        <v>74</v>
      </c>
      <c r="M42" s="35" t="s">
        <v>65</v>
      </c>
      <c r="N42" s="35"/>
    </row>
    <row r="43" spans="6:14">
      <c r="F43" s="214"/>
      <c r="G43" s="214"/>
      <c r="H43" s="214"/>
      <c r="I43" s="220"/>
      <c r="J43" s="217"/>
      <c r="K43" s="72"/>
      <c r="L43" s="38" t="s">
        <v>75</v>
      </c>
      <c r="M43" s="35" t="s">
        <v>76</v>
      </c>
      <c r="N43" s="35"/>
    </row>
    <row r="44" spans="6:14">
      <c r="F44" s="214"/>
      <c r="G44" s="214"/>
      <c r="H44" s="214"/>
      <c r="I44" s="220"/>
      <c r="J44" s="217"/>
      <c r="K44" s="72"/>
      <c r="L44" s="38" t="s">
        <v>77</v>
      </c>
      <c r="M44" s="35" t="s">
        <v>65</v>
      </c>
      <c r="N44" s="35"/>
    </row>
    <row r="45" spans="6:14">
      <c r="F45" s="214"/>
      <c r="G45" s="214"/>
      <c r="H45" s="214"/>
      <c r="I45" s="221"/>
      <c r="J45" s="218"/>
      <c r="K45" s="73"/>
      <c r="L45" s="38" t="s">
        <v>78</v>
      </c>
      <c r="M45" s="35" t="s">
        <v>65</v>
      </c>
      <c r="N45" s="35"/>
    </row>
    <row r="46" spans="6:14">
      <c r="F46" s="214"/>
      <c r="G46" s="214"/>
      <c r="H46" s="213"/>
      <c r="I46" s="219" t="s">
        <v>79</v>
      </c>
      <c r="J46" s="41" t="s">
        <v>80</v>
      </c>
      <c r="K46" s="41"/>
      <c r="L46" s="38" t="s">
        <v>81</v>
      </c>
      <c r="M46" s="35" t="s">
        <v>82</v>
      </c>
      <c r="N46" s="35"/>
    </row>
    <row r="47" spans="6:14">
      <c r="F47" s="215"/>
      <c r="G47" s="215"/>
      <c r="H47" s="215"/>
      <c r="I47" s="221"/>
      <c r="J47" s="41" t="s">
        <v>83</v>
      </c>
      <c r="K47" s="41"/>
      <c r="L47" s="38" t="s">
        <v>84</v>
      </c>
      <c r="M47" s="35" t="s">
        <v>85</v>
      </c>
      <c r="N47" s="35"/>
    </row>
    <row r="48" spans="6:14" ht="28.5">
      <c r="F48" s="213" t="s">
        <v>86</v>
      </c>
      <c r="G48" s="213" t="s">
        <v>59</v>
      </c>
      <c r="H48" s="53">
        <v>9</v>
      </c>
      <c r="I48" s="32" t="s">
        <v>87</v>
      </c>
      <c r="J48" s="74" t="s">
        <v>88</v>
      </c>
      <c r="K48" s="74"/>
      <c r="L48" s="42" t="s">
        <v>89</v>
      </c>
      <c r="M48" s="35" t="s">
        <v>85</v>
      </c>
      <c r="N48" s="35"/>
    </row>
    <row r="49" spans="6:14" ht="28.5">
      <c r="F49" s="214"/>
      <c r="G49" s="214"/>
      <c r="H49" s="39">
        <v>10</v>
      </c>
      <c r="I49" s="32" t="s">
        <v>90</v>
      </c>
      <c r="J49" s="51" t="s">
        <v>91</v>
      </c>
      <c r="K49" s="51"/>
      <c r="L49" s="41" t="s">
        <v>92</v>
      </c>
      <c r="M49" s="35" t="s">
        <v>85</v>
      </c>
      <c r="N49" s="35"/>
    </row>
    <row r="50" spans="6:14" ht="28.5">
      <c r="F50" s="214"/>
      <c r="G50" s="215"/>
      <c r="H50" s="53"/>
      <c r="I50" s="43" t="s">
        <v>93</v>
      </c>
      <c r="J50" s="43" t="s">
        <v>94</v>
      </c>
      <c r="K50" s="43"/>
      <c r="L50" s="41" t="s">
        <v>95</v>
      </c>
      <c r="M50" s="35" t="s">
        <v>96</v>
      </c>
      <c r="N50" s="35"/>
    </row>
    <row r="51" spans="6:14">
      <c r="F51" s="196" t="s">
        <v>97</v>
      </c>
      <c r="G51" s="202" t="s">
        <v>98</v>
      </c>
      <c r="H51" s="202"/>
      <c r="I51" s="219" t="s">
        <v>99</v>
      </c>
      <c r="J51" s="224" t="s">
        <v>100</v>
      </c>
      <c r="K51" s="62"/>
      <c r="L51" s="34" t="s">
        <v>101</v>
      </c>
      <c r="M51" s="35" t="s">
        <v>65</v>
      </c>
      <c r="N51" s="35"/>
    </row>
    <row r="52" spans="6:14">
      <c r="F52" s="196"/>
      <c r="G52" s="203"/>
      <c r="H52" s="203"/>
      <c r="I52" s="220"/>
      <c r="J52" s="225"/>
      <c r="K52" s="63"/>
      <c r="L52" s="34" t="s">
        <v>102</v>
      </c>
      <c r="M52" s="35" t="s">
        <v>65</v>
      </c>
      <c r="N52" s="35"/>
    </row>
    <row r="53" spans="6:14">
      <c r="F53" s="196"/>
      <c r="G53" s="203"/>
      <c r="H53" s="204"/>
      <c r="I53" s="221"/>
      <c r="J53" s="226"/>
      <c r="K53" s="64"/>
      <c r="L53" s="33" t="s">
        <v>103</v>
      </c>
      <c r="M53" s="35" t="s">
        <v>104</v>
      </c>
      <c r="N53" s="35"/>
    </row>
    <row r="54" spans="6:14" ht="30">
      <c r="F54" s="196"/>
      <c r="G54" s="203"/>
      <c r="H54" s="49">
        <v>11</v>
      </c>
      <c r="I54" s="45" t="s">
        <v>105</v>
      </c>
      <c r="J54" s="77" t="s">
        <v>106</v>
      </c>
      <c r="K54" s="52"/>
      <c r="L54" s="33" t="s">
        <v>107</v>
      </c>
      <c r="M54" s="35" t="s">
        <v>108</v>
      </c>
      <c r="N54" s="35"/>
    </row>
    <row r="55" spans="6:14" ht="28.5">
      <c r="F55" s="196"/>
      <c r="G55" s="203"/>
      <c r="H55" s="196"/>
      <c r="I55" s="222" t="s">
        <v>109</v>
      </c>
      <c r="J55" s="223" t="s">
        <v>110</v>
      </c>
      <c r="K55" s="52"/>
      <c r="L55" s="34" t="s">
        <v>111</v>
      </c>
      <c r="M55" s="35" t="s">
        <v>112</v>
      </c>
      <c r="N55" s="35"/>
    </row>
    <row r="56" spans="6:14">
      <c r="F56" s="196"/>
      <c r="G56" s="203"/>
      <c r="H56" s="196"/>
      <c r="I56" s="222"/>
      <c r="J56" s="223"/>
      <c r="K56" s="52"/>
      <c r="L56" s="34" t="s">
        <v>113</v>
      </c>
      <c r="M56" s="35" t="s">
        <v>114</v>
      </c>
      <c r="N56" s="35"/>
    </row>
    <row r="57" spans="6:14">
      <c r="F57" s="196"/>
      <c r="G57" s="203"/>
      <c r="H57" s="196"/>
      <c r="I57" s="222"/>
      <c r="J57" s="223"/>
      <c r="K57" s="52"/>
      <c r="L57" s="34" t="s">
        <v>115</v>
      </c>
      <c r="M57" s="35" t="s">
        <v>65</v>
      </c>
      <c r="N57" s="35"/>
    </row>
    <row r="58" spans="6:14" ht="60" customHeight="1">
      <c r="F58" s="196"/>
      <c r="G58" s="203"/>
      <c r="H58" s="49">
        <v>12</v>
      </c>
      <c r="I58" s="45" t="s">
        <v>116</v>
      </c>
      <c r="J58" s="77" t="s">
        <v>117</v>
      </c>
      <c r="K58" s="52"/>
      <c r="L58" s="34"/>
      <c r="M58" s="35"/>
      <c r="N58" s="35"/>
    </row>
    <row r="59" spans="6:14" ht="60" customHeight="1">
      <c r="F59" s="196"/>
      <c r="G59" s="203"/>
      <c r="H59" s="49">
        <v>13</v>
      </c>
      <c r="I59" s="45" t="s">
        <v>118</v>
      </c>
      <c r="J59" s="78" t="s">
        <v>119</v>
      </c>
      <c r="K59" s="52"/>
      <c r="L59" s="34"/>
      <c r="M59" s="35"/>
      <c r="N59" s="35"/>
    </row>
    <row r="60" spans="6:14" ht="30">
      <c r="F60" s="196"/>
      <c r="G60" s="203"/>
      <c r="H60" s="49">
        <v>14</v>
      </c>
      <c r="I60" s="45" t="s">
        <v>120</v>
      </c>
      <c r="J60" s="77" t="s">
        <v>121</v>
      </c>
      <c r="K60" s="52"/>
      <c r="L60" s="33" t="s">
        <v>122</v>
      </c>
      <c r="M60" s="35" t="s">
        <v>123</v>
      </c>
      <c r="N60" s="35"/>
    </row>
    <row r="61" spans="6:14" ht="28.5">
      <c r="F61" s="196"/>
      <c r="G61" s="204"/>
      <c r="H61" s="49"/>
      <c r="I61" s="45" t="s">
        <v>124</v>
      </c>
      <c r="J61" s="52" t="s">
        <v>125</v>
      </c>
      <c r="K61" s="52"/>
      <c r="L61" s="33" t="s">
        <v>126</v>
      </c>
      <c r="M61" s="35" t="s">
        <v>108</v>
      </c>
      <c r="N61" s="35"/>
    </row>
    <row r="62" spans="6:14" ht="28.5">
      <c r="F62" s="196" t="s">
        <v>127</v>
      </c>
      <c r="G62" s="202" t="s">
        <v>98</v>
      </c>
      <c r="H62" s="196">
        <v>15</v>
      </c>
      <c r="I62" s="222" t="s">
        <v>128</v>
      </c>
      <c r="J62" s="223" t="s">
        <v>129</v>
      </c>
      <c r="K62" s="52"/>
      <c r="L62" s="34" t="s">
        <v>111</v>
      </c>
      <c r="M62" s="35" t="s">
        <v>63</v>
      </c>
      <c r="N62" s="35"/>
    </row>
    <row r="63" spans="6:14">
      <c r="F63" s="196"/>
      <c r="G63" s="203"/>
      <c r="H63" s="196"/>
      <c r="I63" s="222"/>
      <c r="J63" s="227"/>
      <c r="K63" s="44"/>
      <c r="L63" s="34" t="s">
        <v>64</v>
      </c>
      <c r="M63" s="35" t="s">
        <v>63</v>
      </c>
      <c r="N63" s="35"/>
    </row>
    <row r="64" spans="6:14">
      <c r="F64" s="196"/>
      <c r="G64" s="203"/>
      <c r="H64" s="196"/>
      <c r="I64" s="222"/>
      <c r="J64" s="227"/>
      <c r="K64" s="44"/>
      <c r="L64" s="34" t="s">
        <v>130</v>
      </c>
      <c r="M64" s="35" t="s">
        <v>67</v>
      </c>
      <c r="N64" s="35"/>
    </row>
    <row r="65" spans="1:14" ht="58.5">
      <c r="A65"/>
      <c r="F65" s="196"/>
      <c r="G65" s="204"/>
      <c r="H65" s="49"/>
      <c r="I65" s="45" t="s">
        <v>131</v>
      </c>
      <c r="J65" s="44" t="s">
        <v>132</v>
      </c>
      <c r="K65" s="44"/>
      <c r="L65" s="33" t="s">
        <v>133</v>
      </c>
      <c r="M65" s="35" t="s">
        <v>134</v>
      </c>
      <c r="N65" s="35"/>
    </row>
    <row r="66" spans="1:14" ht="15.95" customHeight="1">
      <c r="F66" s="196" t="s">
        <v>135</v>
      </c>
      <c r="G66" s="196" t="s">
        <v>98</v>
      </c>
      <c r="H66" s="196">
        <v>16</v>
      </c>
      <c r="I66" s="228" t="s">
        <v>136</v>
      </c>
      <c r="J66" s="193" t="s">
        <v>137</v>
      </c>
      <c r="K66" s="44"/>
      <c r="L66" s="34" t="s">
        <v>138</v>
      </c>
      <c r="M66" s="35" t="s">
        <v>139</v>
      </c>
      <c r="N66" s="35"/>
    </row>
    <row r="67" spans="1:14">
      <c r="F67" s="196"/>
      <c r="G67" s="196"/>
      <c r="H67" s="196"/>
      <c r="I67" s="229"/>
      <c r="J67" s="194"/>
      <c r="K67" s="44"/>
      <c r="L67" s="34"/>
      <c r="M67" s="35"/>
      <c r="N67" s="35"/>
    </row>
    <row r="68" spans="1:14">
      <c r="F68" s="196"/>
      <c r="G68" s="196"/>
      <c r="H68" s="196"/>
      <c r="I68" s="229"/>
      <c r="J68" s="194"/>
      <c r="K68" s="44"/>
      <c r="L68" s="34" t="s">
        <v>138</v>
      </c>
      <c r="M68" s="35" t="s">
        <v>139</v>
      </c>
      <c r="N68" s="35"/>
    </row>
    <row r="69" spans="1:14">
      <c r="F69" s="196"/>
      <c r="G69" s="196"/>
      <c r="H69" s="196"/>
      <c r="I69" s="230"/>
      <c r="J69" s="195"/>
      <c r="K69" s="44"/>
      <c r="L69" s="34" t="s">
        <v>140</v>
      </c>
      <c r="M69" s="35" t="s">
        <v>65</v>
      </c>
      <c r="N69" s="35"/>
    </row>
    <row r="70" spans="1:14" ht="75">
      <c r="F70" s="196"/>
      <c r="G70" s="196"/>
      <c r="H70" s="49">
        <v>17</v>
      </c>
      <c r="I70" s="46" t="s">
        <v>141</v>
      </c>
      <c r="J70" s="52" t="s">
        <v>142</v>
      </c>
      <c r="K70" s="52"/>
      <c r="L70" s="34" t="s">
        <v>143</v>
      </c>
      <c r="M70" s="35" t="s">
        <v>139</v>
      </c>
      <c r="N70" s="35"/>
    </row>
    <row r="71" spans="1:14" ht="45">
      <c r="F71" s="35"/>
      <c r="G71" s="35"/>
      <c r="H71" s="58"/>
      <c r="I71" s="57" t="s">
        <v>144</v>
      </c>
      <c r="J71" s="70" t="s">
        <v>145</v>
      </c>
      <c r="K71" s="70"/>
      <c r="L71" s="56"/>
      <c r="M71" s="35"/>
      <c r="N71" s="35"/>
    </row>
    <row r="72" spans="1:14">
      <c r="F72" s="35"/>
      <c r="G72" s="35"/>
      <c r="H72" s="35"/>
      <c r="I72" s="55"/>
      <c r="J72" s="35"/>
      <c r="K72" s="35"/>
      <c r="L72" s="35"/>
      <c r="M72" s="35"/>
      <c r="N72" s="35"/>
    </row>
    <row r="73" spans="1:14">
      <c r="F73" s="35"/>
      <c r="G73" s="35"/>
      <c r="H73" s="35"/>
      <c r="I73" s="54"/>
      <c r="J73" s="35"/>
      <c r="K73" s="35"/>
      <c r="L73" s="35"/>
      <c r="M73" s="35"/>
      <c r="N73" s="35"/>
    </row>
    <row r="74" spans="1:14">
      <c r="F74" s="35"/>
      <c r="G74" s="35"/>
      <c r="H74" s="35"/>
      <c r="I74" s="35"/>
      <c r="J74" s="35"/>
      <c r="K74" s="35"/>
      <c r="L74" s="35"/>
      <c r="M74" s="35"/>
      <c r="N74" s="35"/>
    </row>
    <row r="75" spans="1:14">
      <c r="F75" s="35"/>
      <c r="G75" s="35"/>
      <c r="H75" s="35"/>
      <c r="J75" s="35"/>
      <c r="K75" s="35"/>
      <c r="L75" s="35"/>
      <c r="M75" s="35"/>
      <c r="N75" s="35"/>
    </row>
    <row r="76" spans="1:14">
      <c r="F76" s="35"/>
      <c r="G76" s="35"/>
      <c r="H76" s="35"/>
      <c r="I76" s="35"/>
      <c r="J76" s="35"/>
      <c r="K76" s="35"/>
      <c r="L76" s="35"/>
      <c r="M76" s="35"/>
      <c r="N76" s="35"/>
    </row>
    <row r="77" spans="1:14">
      <c r="F77" s="35"/>
      <c r="G77" s="35"/>
      <c r="H77" s="35"/>
      <c r="I77" s="35"/>
      <c r="J77" s="35"/>
      <c r="K77" s="35"/>
      <c r="L77" s="35"/>
      <c r="M77" s="35"/>
      <c r="N77" s="35"/>
    </row>
    <row r="78" spans="1:14" ht="28.5">
      <c r="F78" s="35"/>
      <c r="G78" s="35"/>
      <c r="H78" s="35"/>
      <c r="I78" s="32" t="s">
        <v>146</v>
      </c>
      <c r="J78" s="41" t="s">
        <v>147</v>
      </c>
      <c r="K78" s="41"/>
      <c r="L78" s="41" t="s">
        <v>148</v>
      </c>
      <c r="M78" s="35" t="s">
        <v>65</v>
      </c>
      <c r="N78" s="35"/>
    </row>
    <row r="79" spans="1:14" ht="28.5">
      <c r="F79" s="35"/>
      <c r="G79" s="35"/>
      <c r="H79" s="35">
        <v>18</v>
      </c>
      <c r="I79" s="45" t="s">
        <v>149</v>
      </c>
      <c r="J79" s="79" t="s">
        <v>150</v>
      </c>
      <c r="K79" s="44"/>
      <c r="L79" s="34" t="s">
        <v>151</v>
      </c>
      <c r="M79" s="35" t="s">
        <v>152</v>
      </c>
      <c r="N79" s="35"/>
    </row>
    <row r="80" spans="1:14">
      <c r="F80" s="35"/>
      <c r="G80" s="35"/>
      <c r="H80" s="35"/>
      <c r="I80" s="35"/>
      <c r="J80" s="35"/>
      <c r="K80" s="35"/>
      <c r="L80" s="35"/>
      <c r="M80" s="35"/>
      <c r="N80" s="35"/>
    </row>
    <row r="81" spans="5:17">
      <c r="F81" s="35"/>
      <c r="G81" s="35"/>
      <c r="H81" s="35"/>
      <c r="I81" s="35"/>
      <c r="J81" s="35"/>
      <c r="K81" s="35"/>
      <c r="L81" s="35"/>
      <c r="M81" s="35"/>
      <c r="N81" s="35"/>
    </row>
    <row r="82" spans="5:17">
      <c r="F82" s="35"/>
      <c r="G82" s="35"/>
      <c r="H82" s="35"/>
      <c r="I82" s="35"/>
      <c r="J82" s="35"/>
      <c r="K82" s="35"/>
      <c r="L82" s="35"/>
      <c r="M82" s="35"/>
      <c r="N82" s="35"/>
    </row>
    <row r="83" spans="5:17">
      <c r="F83" s="35"/>
      <c r="G83" s="35"/>
      <c r="H83" s="35"/>
      <c r="I83" s="35"/>
      <c r="J83" s="35"/>
      <c r="K83" s="35"/>
      <c r="L83" s="35"/>
      <c r="M83" s="35"/>
      <c r="N83" s="35"/>
    </row>
    <row r="84" spans="5:17" ht="18">
      <c r="E84" s="5" t="s">
        <v>153</v>
      </c>
      <c r="F84" s="47" t="s">
        <v>154</v>
      </c>
      <c r="G84" s="47"/>
      <c r="H84" s="47"/>
      <c r="I84" s="48"/>
      <c r="J84" s="48"/>
      <c r="K84" s="48"/>
      <c r="L84" s="48"/>
      <c r="M84" s="48"/>
      <c r="N84" s="48"/>
      <c r="O84" s="3"/>
      <c r="P84" s="3"/>
      <c r="Q84" s="3"/>
    </row>
    <row r="86" spans="5:17">
      <c r="F86" t="s">
        <v>155</v>
      </c>
    </row>
    <row r="87" spans="5:17">
      <c r="F87" t="s">
        <v>156</v>
      </c>
    </row>
    <row r="88" spans="5:17">
      <c r="F88" t="s">
        <v>157</v>
      </c>
    </row>
    <row r="89" spans="5:17">
      <c r="F89" t="s">
        <v>158</v>
      </c>
    </row>
  </sheetData>
  <mergeCells count="52">
    <mergeCell ref="G62:G65"/>
    <mergeCell ref="F62:F65"/>
    <mergeCell ref="I62:I64"/>
    <mergeCell ref="J62:J64"/>
    <mergeCell ref="I66:I69"/>
    <mergeCell ref="H62:H64"/>
    <mergeCell ref="H66:H69"/>
    <mergeCell ref="F66:F70"/>
    <mergeCell ref="G66:G70"/>
    <mergeCell ref="F48:F50"/>
    <mergeCell ref="F51:F61"/>
    <mergeCell ref="I51:I53"/>
    <mergeCell ref="I55:I57"/>
    <mergeCell ref="J55:J57"/>
    <mergeCell ref="G48:G50"/>
    <mergeCell ref="G51:G61"/>
    <mergeCell ref="J51:J53"/>
    <mergeCell ref="H51:H53"/>
    <mergeCell ref="H55:H57"/>
    <mergeCell ref="F37:F47"/>
    <mergeCell ref="I37:I40"/>
    <mergeCell ref="J37:J39"/>
    <mergeCell ref="I41:I45"/>
    <mergeCell ref="J42:J45"/>
    <mergeCell ref="G37:G47"/>
    <mergeCell ref="H37:H40"/>
    <mergeCell ref="H41:H45"/>
    <mergeCell ref="H46:H47"/>
    <mergeCell ref="I46:I47"/>
    <mergeCell ref="I26:I30"/>
    <mergeCell ref="J26:J30"/>
    <mergeCell ref="I31:I34"/>
    <mergeCell ref="J31:J34"/>
    <mergeCell ref="G26:G36"/>
    <mergeCell ref="H26:H30"/>
    <mergeCell ref="H31:H34"/>
    <mergeCell ref="K15:K17"/>
    <mergeCell ref="K18:K21"/>
    <mergeCell ref="J66:J69"/>
    <mergeCell ref="K22:K25"/>
    <mergeCell ref="F15:F25"/>
    <mergeCell ref="I15:I17"/>
    <mergeCell ref="J15:J17"/>
    <mergeCell ref="I18:I21"/>
    <mergeCell ref="J18:J21"/>
    <mergeCell ref="I22:I25"/>
    <mergeCell ref="J22:J25"/>
    <mergeCell ref="G15:G25"/>
    <mergeCell ref="H15:H17"/>
    <mergeCell ref="H18:H21"/>
    <mergeCell ref="H22:H25"/>
    <mergeCell ref="F26:F3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66123-2C2E-0548-B008-64FFBD824F0C}">
  <dimension ref="A1:Q73"/>
  <sheetViews>
    <sheetView showGridLines="0" tabSelected="1" topLeftCell="A6" zoomScale="70" zoomScaleNormal="70" workbookViewId="0">
      <selection activeCell="I21" sqref="I21"/>
    </sheetView>
  </sheetViews>
  <sheetFormatPr defaultColWidth="11.5546875" defaultRowHeight="15"/>
  <cols>
    <col min="1" max="2" width="3" customWidth="1"/>
    <col min="3" max="3" width="4" customWidth="1"/>
    <col min="4" max="4" width="3" customWidth="1"/>
    <col min="5" max="5" width="3.33203125" customWidth="1"/>
    <col min="6" max="10" width="30.6640625" customWidth="1"/>
    <col min="11" max="11" width="35.6640625" customWidth="1"/>
    <col min="12" max="12" width="5.5546875" customWidth="1"/>
    <col min="13" max="13" width="8.33203125" customWidth="1"/>
    <col min="14" max="14" width="20.44140625" bestFit="1" customWidth="1"/>
    <col min="15" max="17" width="3" customWidth="1"/>
  </cols>
  <sheetData>
    <row r="1" spans="1:17">
      <c r="A1" s="6"/>
      <c r="B1" s="6"/>
      <c r="C1" s="6"/>
      <c r="D1" s="6"/>
      <c r="E1" s="6"/>
      <c r="F1" s="7"/>
      <c r="G1" s="7"/>
      <c r="H1" s="7"/>
      <c r="I1" s="7"/>
      <c r="J1" s="7"/>
      <c r="K1" s="6"/>
      <c r="L1" s="6"/>
      <c r="M1" s="6"/>
      <c r="N1" s="6"/>
      <c r="O1" s="6"/>
      <c r="P1" s="6"/>
      <c r="Q1" s="6"/>
    </row>
    <row r="2" spans="1:17">
      <c r="A2" s="6"/>
      <c r="B2" s="8"/>
      <c r="C2" s="8"/>
      <c r="D2" s="8"/>
      <c r="E2" s="8"/>
      <c r="F2" s="10"/>
      <c r="G2" s="10"/>
      <c r="H2" s="10"/>
      <c r="I2" s="10"/>
      <c r="J2" s="10"/>
      <c r="K2" s="8"/>
      <c r="L2" s="8"/>
      <c r="M2" s="8"/>
      <c r="N2" s="8"/>
      <c r="O2" s="8"/>
      <c r="P2" s="8"/>
      <c r="Q2" s="6"/>
    </row>
    <row r="3" spans="1:17">
      <c r="A3" s="6"/>
      <c r="B3" s="8"/>
      <c r="C3" s="8"/>
      <c r="D3" s="8"/>
      <c r="E3" s="8"/>
      <c r="F3" s="10"/>
      <c r="G3" s="10"/>
      <c r="H3" s="10"/>
      <c r="I3" s="10"/>
      <c r="J3" s="10"/>
      <c r="K3" s="8"/>
      <c r="L3" s="8"/>
      <c r="M3" s="8"/>
      <c r="N3" s="8"/>
      <c r="O3" s="8"/>
      <c r="P3" s="8"/>
      <c r="Q3" s="6"/>
    </row>
    <row r="4" spans="1:17" s="153" customFormat="1" ht="18">
      <c r="A4" s="150"/>
      <c r="B4" s="151"/>
      <c r="C4" s="9" t="s">
        <v>159</v>
      </c>
      <c r="D4" s="9"/>
      <c r="E4" s="151"/>
      <c r="F4" s="152"/>
      <c r="G4" s="152"/>
      <c r="H4" s="152"/>
      <c r="I4" s="152"/>
      <c r="J4" s="152"/>
      <c r="K4" s="151"/>
      <c r="L4" s="151"/>
      <c r="M4" s="151"/>
      <c r="N4" s="151"/>
      <c r="O4" s="151"/>
      <c r="P4" s="151"/>
      <c r="Q4" s="150"/>
    </row>
    <row r="5" spans="1:17">
      <c r="A5" s="6"/>
      <c r="B5" s="8"/>
      <c r="C5" s="11"/>
      <c r="D5" s="11"/>
      <c r="E5" s="11"/>
      <c r="F5" s="12"/>
      <c r="G5" s="12"/>
      <c r="H5" s="12"/>
      <c r="I5" s="12"/>
      <c r="J5" s="12"/>
      <c r="K5" s="11"/>
      <c r="L5" s="13"/>
      <c r="M5" s="13"/>
      <c r="N5" s="13"/>
      <c r="O5" s="8"/>
      <c r="P5" s="8"/>
      <c r="Q5" s="6"/>
    </row>
    <row r="6" spans="1:17">
      <c r="A6" s="6"/>
      <c r="B6" s="8"/>
      <c r="C6" s="8"/>
      <c r="D6" s="8"/>
      <c r="E6" s="8"/>
      <c r="F6" s="10"/>
      <c r="G6" s="10"/>
      <c r="H6" s="10"/>
      <c r="I6" s="10"/>
      <c r="J6" s="10"/>
      <c r="K6" s="8"/>
      <c r="L6" s="8"/>
      <c r="M6" s="8"/>
      <c r="N6" s="8"/>
      <c r="O6" s="8"/>
      <c r="P6" s="8"/>
      <c r="Q6" s="6"/>
    </row>
    <row r="7" spans="1:17" ht="15.75" thickBot="1">
      <c r="A7" s="6"/>
      <c r="B7" s="8"/>
      <c r="C7" s="8"/>
      <c r="D7" s="8"/>
      <c r="E7" s="8"/>
      <c r="F7" s="10"/>
      <c r="G7" s="10"/>
      <c r="H7" s="10"/>
      <c r="I7" s="10"/>
      <c r="J7" s="10"/>
      <c r="K7" s="8"/>
      <c r="L7" s="8"/>
      <c r="M7" s="8"/>
      <c r="N7" s="8"/>
      <c r="O7" s="8"/>
      <c r="P7" s="8"/>
      <c r="Q7" s="6"/>
    </row>
    <row r="8" spans="1:17">
      <c r="A8" s="6"/>
      <c r="B8" s="8"/>
      <c r="C8" s="8"/>
      <c r="D8" s="144"/>
      <c r="E8" s="184"/>
      <c r="F8" s="185" t="s">
        <v>160</v>
      </c>
      <c r="G8" s="185" t="s">
        <v>161</v>
      </c>
      <c r="H8" s="185" t="s">
        <v>162</v>
      </c>
      <c r="I8" s="185" t="s">
        <v>163</v>
      </c>
      <c r="J8" s="186" t="s">
        <v>164</v>
      </c>
      <c r="K8" s="145" t="s">
        <v>165</v>
      </c>
      <c r="O8" s="8"/>
      <c r="P8" s="8"/>
      <c r="Q8" s="6"/>
    </row>
    <row r="9" spans="1:17" ht="15.95" customHeight="1">
      <c r="A9" s="6"/>
      <c r="B9" s="8"/>
      <c r="C9" s="8"/>
      <c r="D9" s="259" t="s">
        <v>166</v>
      </c>
      <c r="E9" s="231">
        <v>1</v>
      </c>
      <c r="F9" s="154">
        <v>45901</v>
      </c>
      <c r="G9" s="155">
        <f t="shared" ref="G9" si="0">F9+1</f>
        <v>45902</v>
      </c>
      <c r="H9" s="155">
        <f t="shared" ref="H9" si="1">G9+1</f>
        <v>45903</v>
      </c>
      <c r="I9" s="155">
        <f t="shared" ref="I9" si="2">H9+1</f>
        <v>45904</v>
      </c>
      <c r="J9" s="177">
        <f t="shared" ref="J9" si="3">I9+1</f>
        <v>45905</v>
      </c>
      <c r="K9" s="166"/>
      <c r="L9" s="8"/>
      <c r="M9" s="8"/>
      <c r="N9" s="8"/>
      <c r="O9" s="8"/>
      <c r="P9" s="8"/>
      <c r="Q9" s="6"/>
    </row>
    <row r="10" spans="1:17">
      <c r="A10" s="6"/>
      <c r="B10" s="8"/>
      <c r="C10" s="8"/>
      <c r="D10" s="259"/>
      <c r="E10" s="232"/>
      <c r="F10" s="160"/>
      <c r="G10" s="169" t="s">
        <v>167</v>
      </c>
      <c r="H10" s="250" t="s">
        <v>168</v>
      </c>
      <c r="I10" s="289"/>
      <c r="J10" s="289"/>
      <c r="K10" s="266" t="s">
        <v>169</v>
      </c>
      <c r="L10" s="8"/>
      <c r="M10" s="8"/>
      <c r="N10" s="8"/>
      <c r="O10" s="8"/>
      <c r="P10" s="8"/>
      <c r="Q10" s="6"/>
    </row>
    <row r="11" spans="1:17">
      <c r="A11" s="6"/>
      <c r="B11" s="8"/>
      <c r="C11" s="8"/>
      <c r="D11" s="259"/>
      <c r="E11" s="232"/>
      <c r="H11" s="251"/>
      <c r="I11" s="290"/>
      <c r="J11" s="290"/>
      <c r="K11" s="266"/>
      <c r="L11" s="8"/>
      <c r="M11" s="8"/>
      <c r="N11" s="8"/>
      <c r="Q11" s="6"/>
    </row>
    <row r="12" spans="1:17">
      <c r="A12" s="6"/>
      <c r="B12" s="8"/>
      <c r="C12" s="8"/>
      <c r="D12" s="259"/>
      <c r="E12" s="232"/>
      <c r="H12" s="162"/>
      <c r="I12" s="165"/>
      <c r="J12" s="171"/>
      <c r="K12" s="266" t="s">
        <v>170</v>
      </c>
      <c r="L12" s="8"/>
      <c r="M12" s="8"/>
      <c r="N12" s="8"/>
      <c r="O12" s="8"/>
      <c r="P12" s="8"/>
      <c r="Q12" s="6"/>
    </row>
    <row r="13" spans="1:17">
      <c r="A13" s="6"/>
      <c r="B13" s="8"/>
      <c r="C13" s="8"/>
      <c r="D13" s="259"/>
      <c r="E13" s="232"/>
      <c r="H13" s="157" t="s">
        <v>171</v>
      </c>
      <c r="I13" s="165"/>
      <c r="J13" s="171"/>
      <c r="K13" s="266"/>
      <c r="L13" s="8"/>
      <c r="M13" s="8"/>
      <c r="N13" s="8"/>
      <c r="O13" s="8"/>
      <c r="P13" s="8"/>
      <c r="Q13" s="6"/>
    </row>
    <row r="14" spans="1:17">
      <c r="A14" s="6"/>
      <c r="B14" s="8"/>
      <c r="C14" s="8"/>
      <c r="D14" s="259"/>
      <c r="E14" s="232"/>
      <c r="H14" s="162"/>
      <c r="I14" s="165"/>
      <c r="J14" s="172"/>
      <c r="K14" s="166"/>
      <c r="L14" s="8"/>
      <c r="M14" s="8"/>
      <c r="N14" s="8"/>
      <c r="O14" s="8"/>
      <c r="P14" s="8"/>
      <c r="Q14" s="6"/>
    </row>
    <row r="15" spans="1:17">
      <c r="A15" s="6"/>
      <c r="B15" s="8"/>
      <c r="C15" s="8"/>
      <c r="D15" s="259"/>
      <c r="E15" s="233"/>
      <c r="H15" s="260" t="s">
        <v>172</v>
      </c>
      <c r="I15" s="260"/>
      <c r="J15" s="261"/>
      <c r="K15" s="163"/>
      <c r="L15" s="8"/>
      <c r="M15" s="8"/>
      <c r="N15" s="8"/>
      <c r="O15" s="8"/>
      <c r="P15" s="8"/>
      <c r="Q15" s="6"/>
    </row>
    <row r="16" spans="1:17" ht="17.100000000000001" customHeight="1">
      <c r="A16" s="6"/>
      <c r="B16" s="8"/>
      <c r="C16" s="8"/>
      <c r="D16" s="259"/>
      <c r="E16" s="231">
        <f>E9+1</f>
        <v>2</v>
      </c>
      <c r="F16" s="154">
        <f>J9+3</f>
        <v>45908</v>
      </c>
      <c r="G16" s="155">
        <f t="shared" ref="G16" si="4">F16+1</f>
        <v>45909</v>
      </c>
      <c r="H16" s="164">
        <f t="shared" ref="H16" si="5">G16+1</f>
        <v>45910</v>
      </c>
      <c r="I16" s="164">
        <f t="shared" ref="I16" si="6">H16+1</f>
        <v>45911</v>
      </c>
      <c r="J16" s="187">
        <f t="shared" ref="J16" si="7">I16+1</f>
        <v>45912</v>
      </c>
      <c r="K16" s="180"/>
      <c r="L16" s="8"/>
      <c r="O16" s="8"/>
      <c r="P16" s="8"/>
      <c r="Q16" s="6"/>
    </row>
    <row r="17" spans="1:17" ht="15" customHeight="1">
      <c r="A17" s="6"/>
      <c r="B17" s="8"/>
      <c r="C17" s="8"/>
      <c r="D17" s="259"/>
      <c r="E17" s="262"/>
      <c r="F17" s="250" t="s">
        <v>168</v>
      </c>
      <c r="J17" s="172"/>
      <c r="K17" s="166"/>
      <c r="L17" s="8"/>
      <c r="M17" s="146"/>
      <c r="N17" t="s">
        <v>173</v>
      </c>
      <c r="O17" s="8"/>
      <c r="P17" s="8"/>
      <c r="Q17" s="6"/>
    </row>
    <row r="18" spans="1:17">
      <c r="A18" s="6"/>
      <c r="B18" s="8"/>
      <c r="C18" s="8"/>
      <c r="D18" s="259"/>
      <c r="E18" s="262"/>
      <c r="F18" s="263"/>
      <c r="H18" s="288"/>
      <c r="J18" s="291"/>
      <c r="K18" s="234" t="s">
        <v>174</v>
      </c>
      <c r="L18" s="8"/>
      <c r="M18" s="147"/>
      <c r="N18" t="s">
        <v>175</v>
      </c>
      <c r="O18" s="8"/>
      <c r="P18" s="8"/>
      <c r="Q18" s="6"/>
    </row>
    <row r="19" spans="1:17" ht="15.95" customHeight="1">
      <c r="A19" s="6"/>
      <c r="B19" s="8"/>
      <c r="C19" s="8"/>
      <c r="D19" s="259"/>
      <c r="E19" s="262"/>
      <c r="F19" s="167"/>
      <c r="H19" s="161"/>
      <c r="I19" s="189"/>
      <c r="J19" s="292"/>
      <c r="K19" s="234"/>
      <c r="L19" s="8"/>
      <c r="M19" s="148"/>
      <c r="N19" s="8" t="s">
        <v>176</v>
      </c>
      <c r="O19" s="8"/>
      <c r="P19" s="8"/>
      <c r="Q19" s="6"/>
    </row>
    <row r="20" spans="1:17" ht="17.100000000000001" customHeight="1">
      <c r="A20" s="6"/>
      <c r="B20" s="8"/>
      <c r="C20" s="8"/>
      <c r="D20" s="259"/>
      <c r="E20" s="262"/>
      <c r="F20" s="188"/>
      <c r="I20" s="159" t="s">
        <v>257</v>
      </c>
      <c r="J20" s="264"/>
      <c r="K20" s="234"/>
      <c r="L20" s="8"/>
      <c r="M20" s="149"/>
      <c r="N20" t="s">
        <v>178</v>
      </c>
      <c r="O20" s="8"/>
      <c r="P20" s="8"/>
      <c r="Q20" s="6"/>
    </row>
    <row r="21" spans="1:17" ht="17.100000000000001" customHeight="1">
      <c r="A21" s="6"/>
      <c r="B21" s="8"/>
      <c r="C21" s="8"/>
      <c r="D21" s="259"/>
      <c r="E21" s="262"/>
      <c r="F21" s="188"/>
      <c r="J21" s="265"/>
      <c r="K21" s="166" t="s">
        <v>179</v>
      </c>
      <c r="L21" s="8"/>
      <c r="O21" s="8"/>
      <c r="P21" s="8"/>
      <c r="Q21" s="6"/>
    </row>
    <row r="22" spans="1:17" ht="17.100000000000001" customHeight="1">
      <c r="A22" s="6"/>
      <c r="B22" s="8"/>
      <c r="C22" s="8"/>
      <c r="D22" s="259"/>
      <c r="E22" s="231">
        <f>E16+1</f>
        <v>3</v>
      </c>
      <c r="F22" s="154">
        <f>J16+3</f>
        <v>45915</v>
      </c>
      <c r="G22" s="155">
        <f t="shared" ref="G22" si="8">F22+1</f>
        <v>45916</v>
      </c>
      <c r="H22" s="155">
        <f t="shared" ref="H22" si="9">G22+1</f>
        <v>45917</v>
      </c>
      <c r="I22" s="155">
        <f t="shared" ref="I22" si="10">H22+1</f>
        <v>45918</v>
      </c>
      <c r="J22" s="177">
        <f t="shared" ref="J22" si="11">I22+1</f>
        <v>45919</v>
      </c>
      <c r="K22" s="180"/>
      <c r="L22" s="8"/>
      <c r="M22" s="8"/>
      <c r="N22" s="8"/>
      <c r="O22" s="8"/>
      <c r="P22" s="8"/>
      <c r="Q22" s="6"/>
    </row>
    <row r="23" spans="1:17">
      <c r="A23" s="6"/>
      <c r="B23" s="8"/>
      <c r="C23" s="8"/>
      <c r="D23" s="259"/>
      <c r="E23" s="232"/>
      <c r="F23" s="267" t="s">
        <v>180</v>
      </c>
      <c r="G23" s="268"/>
      <c r="H23" s="268"/>
      <c r="I23" s="268"/>
      <c r="J23" s="269"/>
      <c r="K23" s="166"/>
      <c r="L23" s="8"/>
      <c r="M23" s="8"/>
      <c r="N23" s="8"/>
      <c r="O23" s="8"/>
      <c r="P23" s="8"/>
      <c r="Q23" s="6"/>
    </row>
    <row r="24" spans="1:17" ht="15.95" customHeight="1">
      <c r="A24" s="6"/>
      <c r="B24" s="8"/>
      <c r="C24" s="8"/>
      <c r="D24" s="259"/>
      <c r="E24" s="232"/>
      <c r="F24" s="270"/>
      <c r="G24" s="271"/>
      <c r="H24" s="271"/>
      <c r="I24" s="271"/>
      <c r="J24" s="272"/>
      <c r="K24" s="234" t="s">
        <v>181</v>
      </c>
      <c r="L24" s="8"/>
      <c r="M24" s="8"/>
      <c r="N24" s="8"/>
      <c r="O24" s="8"/>
      <c r="P24" s="8"/>
      <c r="Q24" s="6"/>
    </row>
    <row r="25" spans="1:17" ht="16.899999999999999" customHeight="1">
      <c r="A25" s="6"/>
      <c r="B25" s="8"/>
      <c r="C25" s="8"/>
      <c r="D25" s="259"/>
      <c r="E25" s="232"/>
      <c r="F25" s="270"/>
      <c r="G25" s="271"/>
      <c r="H25" s="271"/>
      <c r="I25" s="271"/>
      <c r="J25" s="272"/>
      <c r="K25" s="234"/>
      <c r="L25" s="8"/>
      <c r="M25" s="8"/>
      <c r="N25" s="8"/>
      <c r="O25" s="8"/>
      <c r="P25" s="8"/>
      <c r="Q25" s="6"/>
    </row>
    <row r="26" spans="1:17" ht="17.100000000000001" customHeight="1">
      <c r="A26" s="6"/>
      <c r="B26" s="8"/>
      <c r="C26" s="8"/>
      <c r="D26" s="259"/>
      <c r="E26" s="232"/>
      <c r="F26" s="270"/>
      <c r="G26" s="271"/>
      <c r="H26" s="271"/>
      <c r="I26" s="271"/>
      <c r="J26" s="272"/>
      <c r="K26" s="234"/>
      <c r="L26" s="8"/>
      <c r="M26" s="8"/>
      <c r="N26" s="10"/>
      <c r="O26" s="8"/>
      <c r="P26" s="8"/>
      <c r="Q26" s="6"/>
    </row>
    <row r="27" spans="1:17" ht="15.95" customHeight="1">
      <c r="A27" s="6"/>
      <c r="B27" s="8"/>
      <c r="C27" s="8"/>
      <c r="D27" s="259"/>
      <c r="E27" s="232"/>
      <c r="F27" s="270"/>
      <c r="G27" s="271"/>
      <c r="H27" s="271"/>
      <c r="I27" s="271"/>
      <c r="J27" s="272"/>
      <c r="K27" s="234" t="s">
        <v>182</v>
      </c>
      <c r="L27" s="8"/>
      <c r="M27" s="8"/>
      <c r="N27" s="10"/>
      <c r="O27" s="8"/>
      <c r="P27" s="8"/>
      <c r="Q27" s="6"/>
    </row>
    <row r="28" spans="1:17">
      <c r="A28" s="6"/>
      <c r="B28" s="8"/>
      <c r="C28" s="8"/>
      <c r="D28" s="259"/>
      <c r="E28" s="233"/>
      <c r="F28" s="273"/>
      <c r="G28" s="274"/>
      <c r="H28" s="274"/>
      <c r="I28" s="274"/>
      <c r="J28" s="275"/>
      <c r="K28" s="257"/>
      <c r="L28" s="8"/>
      <c r="M28" s="8"/>
      <c r="N28" s="8"/>
      <c r="O28" s="8"/>
      <c r="P28" s="8"/>
      <c r="Q28" s="6"/>
    </row>
    <row r="29" spans="1:17">
      <c r="A29" s="6"/>
      <c r="B29" s="8"/>
      <c r="C29" s="8"/>
      <c r="D29" s="259"/>
      <c r="E29" s="231">
        <f>E22+1</f>
        <v>4</v>
      </c>
      <c r="F29" s="154">
        <f>J22+3</f>
        <v>45922</v>
      </c>
      <c r="G29" s="155">
        <f t="shared" ref="G29" si="12">F29+1</f>
        <v>45923</v>
      </c>
      <c r="H29" s="155">
        <f t="shared" ref="H29" si="13">G29+1</f>
        <v>45924</v>
      </c>
      <c r="I29" s="155">
        <f t="shared" ref="I29" si="14">H29+1</f>
        <v>45925</v>
      </c>
      <c r="J29" s="177">
        <f t="shared" ref="J29" si="15">I29+1</f>
        <v>45926</v>
      </c>
      <c r="K29" s="182"/>
      <c r="L29" s="8"/>
      <c r="M29" s="8"/>
      <c r="N29" s="8"/>
      <c r="O29" s="8"/>
      <c r="P29" s="8"/>
      <c r="Q29" s="6"/>
    </row>
    <row r="30" spans="1:17" ht="15.95" customHeight="1">
      <c r="A30" s="6"/>
      <c r="B30" s="8"/>
      <c r="C30" s="8"/>
      <c r="D30" s="259"/>
      <c r="E30" s="232"/>
      <c r="F30" s="255" t="s">
        <v>183</v>
      </c>
      <c r="H30" s="189"/>
      <c r="J30" s="172"/>
      <c r="K30" s="166"/>
      <c r="L30" s="8"/>
      <c r="M30" s="8"/>
      <c r="N30" s="8"/>
      <c r="O30" s="8"/>
      <c r="P30" s="8"/>
      <c r="Q30" s="6"/>
    </row>
    <row r="31" spans="1:17">
      <c r="A31" s="6"/>
      <c r="B31" s="8"/>
      <c r="C31" s="8"/>
      <c r="D31" s="259"/>
      <c r="E31" s="232"/>
      <c r="F31" s="256"/>
      <c r="H31" s="157" t="s">
        <v>184</v>
      </c>
      <c r="I31" s="156" t="s">
        <v>185</v>
      </c>
      <c r="J31" s="171"/>
      <c r="K31" s="166"/>
      <c r="L31" s="8"/>
      <c r="M31" s="8"/>
      <c r="N31" s="8"/>
      <c r="O31" s="8"/>
      <c r="P31" s="8"/>
      <c r="Q31" s="6"/>
    </row>
    <row r="32" spans="1:17">
      <c r="A32" s="6"/>
      <c r="B32" s="8"/>
      <c r="C32" s="8"/>
      <c r="D32" s="259"/>
      <c r="E32" s="232"/>
      <c r="J32" s="171"/>
      <c r="K32" s="166" t="s">
        <v>186</v>
      </c>
      <c r="L32" s="8"/>
      <c r="M32" s="8"/>
      <c r="N32" s="8"/>
      <c r="O32" s="8"/>
      <c r="P32" s="8"/>
      <c r="Q32" s="6"/>
    </row>
    <row r="33" spans="1:17" ht="15.95" customHeight="1">
      <c r="A33" s="6"/>
      <c r="B33" s="8"/>
      <c r="C33" s="8"/>
      <c r="D33" s="259"/>
      <c r="E33" s="232"/>
      <c r="J33" s="171"/>
      <c r="K33" s="183" t="s">
        <v>174</v>
      </c>
      <c r="L33" s="8"/>
      <c r="M33" s="8"/>
      <c r="N33" s="8"/>
      <c r="O33" s="8"/>
      <c r="P33" s="8"/>
      <c r="Q33" s="6"/>
    </row>
    <row r="34" spans="1:17">
      <c r="A34" s="6"/>
      <c r="B34" s="8"/>
      <c r="C34" s="8"/>
      <c r="D34" s="259"/>
      <c r="E34" s="232"/>
      <c r="I34" s="158" t="s">
        <v>177</v>
      </c>
      <c r="J34" s="171"/>
      <c r="K34" s="183"/>
      <c r="L34" s="8"/>
      <c r="M34" s="8"/>
      <c r="N34" s="8"/>
      <c r="O34" s="8"/>
      <c r="P34" s="8"/>
      <c r="Q34" s="6"/>
    </row>
    <row r="35" spans="1:17">
      <c r="A35" s="6"/>
      <c r="B35" s="8"/>
      <c r="C35" s="8"/>
      <c r="D35" s="259"/>
      <c r="E35" s="233"/>
      <c r="F35" s="252" t="s">
        <v>187</v>
      </c>
      <c r="G35" s="253"/>
      <c r="H35" s="253"/>
      <c r="I35" s="253"/>
      <c r="J35" s="254"/>
      <c r="K35" s="181"/>
      <c r="L35" s="8"/>
      <c r="M35" s="8"/>
      <c r="N35" s="8"/>
      <c r="O35" s="8"/>
      <c r="P35" s="8"/>
      <c r="Q35" s="6"/>
    </row>
    <row r="36" spans="1:17" ht="15.95" customHeight="1">
      <c r="A36" s="6"/>
      <c r="B36" s="8"/>
      <c r="C36" s="8"/>
      <c r="D36" s="259" t="s">
        <v>188</v>
      </c>
      <c r="E36" s="231">
        <f>E29+1</f>
        <v>5</v>
      </c>
      <c r="F36" s="154">
        <f>J29+3</f>
        <v>45929</v>
      </c>
      <c r="G36" s="155">
        <f t="shared" ref="G36" si="16">F36+1</f>
        <v>45930</v>
      </c>
      <c r="H36" s="155">
        <f t="shared" ref="H36" si="17">G36+1</f>
        <v>45931</v>
      </c>
      <c r="I36" s="155">
        <f t="shared" ref="I36" si="18">H36+1</f>
        <v>45932</v>
      </c>
      <c r="J36" s="177">
        <f t="shared" ref="J36" si="19">I36+1</f>
        <v>45933</v>
      </c>
      <c r="K36" s="166"/>
      <c r="L36" s="8"/>
      <c r="M36" s="8"/>
      <c r="N36" s="8"/>
      <c r="O36" s="8"/>
      <c r="P36" s="8"/>
      <c r="Q36" s="6"/>
    </row>
    <row r="37" spans="1:17">
      <c r="A37" s="6"/>
      <c r="B37" s="8"/>
      <c r="C37" s="8"/>
      <c r="D37" s="259"/>
      <c r="E37" s="232"/>
      <c r="F37" s="250" t="s">
        <v>168</v>
      </c>
      <c r="H37" s="189"/>
      <c r="J37" s="172"/>
      <c r="K37" s="234" t="s">
        <v>174</v>
      </c>
      <c r="L37" s="8"/>
      <c r="M37" s="8"/>
      <c r="N37" s="8"/>
      <c r="O37" s="8"/>
      <c r="P37" s="8"/>
      <c r="Q37" s="6"/>
    </row>
    <row r="38" spans="1:17">
      <c r="A38" s="6"/>
      <c r="B38" s="8"/>
      <c r="C38" s="8"/>
      <c r="D38" s="259"/>
      <c r="E38" s="232"/>
      <c r="F38" s="251"/>
      <c r="H38" s="293"/>
      <c r="J38" s="171"/>
      <c r="K38" s="234"/>
      <c r="L38" s="8"/>
      <c r="M38" s="8"/>
      <c r="N38" s="8"/>
      <c r="O38" s="8"/>
      <c r="P38" s="8"/>
      <c r="Q38" s="6"/>
    </row>
    <row r="39" spans="1:17">
      <c r="A39" s="6"/>
      <c r="B39" s="8"/>
      <c r="C39" s="8"/>
      <c r="D39" s="259"/>
      <c r="E39" s="232"/>
      <c r="H39" s="294"/>
      <c r="J39" s="171"/>
      <c r="K39" s="234"/>
      <c r="L39" s="8"/>
      <c r="M39" s="8"/>
      <c r="N39" s="8"/>
      <c r="O39" s="8"/>
      <c r="P39" s="8"/>
      <c r="Q39" s="6"/>
    </row>
    <row r="40" spans="1:17">
      <c r="A40" s="6"/>
      <c r="B40" s="8"/>
      <c r="C40" s="8"/>
      <c r="D40" s="259"/>
      <c r="E40" s="232"/>
      <c r="I40" s="158" t="s">
        <v>177</v>
      </c>
      <c r="J40" s="171"/>
      <c r="K40" s="174"/>
      <c r="L40" s="8"/>
      <c r="M40" s="8"/>
      <c r="N40" s="8"/>
      <c r="O40" s="8"/>
      <c r="P40" s="8"/>
      <c r="Q40" s="6"/>
    </row>
    <row r="41" spans="1:17">
      <c r="A41" s="6"/>
      <c r="B41" s="8"/>
      <c r="C41" s="8"/>
      <c r="D41" s="259"/>
      <c r="E41" s="232"/>
      <c r="J41" s="171"/>
      <c r="K41" s="174"/>
      <c r="L41" s="8"/>
      <c r="M41" s="8"/>
      <c r="N41" s="8"/>
      <c r="O41" s="8"/>
      <c r="P41" s="8"/>
      <c r="Q41" s="6"/>
    </row>
    <row r="42" spans="1:17" ht="15.75" thickBot="1">
      <c r="A42" s="6"/>
      <c r="B42" s="8"/>
      <c r="C42" s="8"/>
      <c r="D42" s="259"/>
      <c r="E42" s="258"/>
      <c r="F42" s="179"/>
      <c r="G42" s="179"/>
      <c r="H42" s="179"/>
      <c r="I42" s="179"/>
      <c r="J42" s="173"/>
      <c r="K42" s="175"/>
      <c r="L42" s="8"/>
      <c r="M42" s="8"/>
      <c r="N42" s="8"/>
      <c r="O42" s="8"/>
      <c r="P42" s="8"/>
      <c r="Q42" s="6"/>
    </row>
    <row r="43" spans="1:17">
      <c r="A43" s="6"/>
      <c r="B43" s="8"/>
      <c r="C43" s="8"/>
      <c r="D43" s="259"/>
      <c r="E43" s="247">
        <v>1</v>
      </c>
      <c r="F43" s="176">
        <f>J36+3</f>
        <v>45936</v>
      </c>
      <c r="G43" s="168">
        <f t="shared" ref="G43" si="20">F43+1</f>
        <v>45937</v>
      </c>
      <c r="H43" s="168">
        <f t="shared" ref="H43" si="21">G43+1</f>
        <v>45938</v>
      </c>
      <c r="I43" s="168">
        <f t="shared" ref="I43" si="22">H43+1</f>
        <v>45939</v>
      </c>
      <c r="J43" s="170">
        <f t="shared" ref="J43" si="23">I43+1</f>
        <v>45940</v>
      </c>
      <c r="K43" s="166"/>
      <c r="L43" s="8"/>
      <c r="M43" s="8"/>
      <c r="N43" s="8"/>
      <c r="O43" s="8"/>
      <c r="P43" s="8"/>
      <c r="Q43" s="6"/>
    </row>
    <row r="44" spans="1:17" ht="15.95" customHeight="1">
      <c r="A44" s="6"/>
      <c r="B44" s="8"/>
      <c r="C44" s="8"/>
      <c r="D44" s="259"/>
      <c r="E44" s="232"/>
      <c r="F44" s="250" t="s">
        <v>168</v>
      </c>
      <c r="G44" s="248"/>
      <c r="H44" s="236" t="s">
        <v>189</v>
      </c>
      <c r="I44" s="236"/>
      <c r="J44" s="237"/>
      <c r="K44" s="234"/>
      <c r="L44" s="8"/>
      <c r="M44" s="8"/>
      <c r="N44" s="8"/>
      <c r="O44" s="8"/>
      <c r="P44" s="8"/>
      <c r="Q44" s="6"/>
    </row>
    <row r="45" spans="1:17">
      <c r="A45" s="6"/>
      <c r="B45" s="8"/>
      <c r="C45" s="8"/>
      <c r="D45" s="259"/>
      <c r="E45" s="232"/>
      <c r="F45" s="251"/>
      <c r="G45" s="249"/>
      <c r="H45" s="239"/>
      <c r="I45" s="239"/>
      <c r="J45" s="240"/>
      <c r="K45" s="234"/>
      <c r="L45" s="8"/>
      <c r="M45" s="8"/>
      <c r="N45" s="8"/>
      <c r="O45" s="8"/>
      <c r="P45" s="8"/>
      <c r="Q45" s="6"/>
    </row>
    <row r="46" spans="1:17">
      <c r="A46" s="6"/>
      <c r="B46" s="8"/>
      <c r="C46" s="8"/>
      <c r="D46" s="259"/>
      <c r="E46" s="232"/>
      <c r="H46" s="239"/>
      <c r="I46" s="239"/>
      <c r="J46" s="240"/>
      <c r="K46" s="234"/>
      <c r="L46" s="8"/>
      <c r="M46" s="8"/>
      <c r="N46" s="8"/>
      <c r="O46" s="8"/>
      <c r="P46" s="8"/>
      <c r="Q46" s="6"/>
    </row>
    <row r="47" spans="1:17">
      <c r="A47" s="6"/>
      <c r="B47" s="8"/>
      <c r="C47" s="8"/>
      <c r="D47" s="259"/>
      <c r="E47" s="232"/>
      <c r="H47" s="239"/>
      <c r="I47" s="239"/>
      <c r="J47" s="240"/>
      <c r="K47" s="174"/>
      <c r="L47" s="8"/>
      <c r="M47" s="8"/>
      <c r="N47" s="8"/>
      <c r="O47" s="8"/>
      <c r="P47" s="8"/>
      <c r="Q47" s="6"/>
    </row>
    <row r="48" spans="1:17">
      <c r="A48" s="6"/>
      <c r="B48" s="8"/>
      <c r="C48" s="8"/>
      <c r="D48" s="259"/>
      <c r="E48" s="232"/>
      <c r="H48" s="239"/>
      <c r="I48" s="239"/>
      <c r="J48" s="240"/>
      <c r="K48" s="174"/>
      <c r="L48" s="8"/>
      <c r="M48" s="8"/>
      <c r="N48" s="8"/>
      <c r="O48" s="8"/>
      <c r="P48" s="8"/>
      <c r="Q48" s="6"/>
    </row>
    <row r="49" spans="1:17" ht="15.75">
      <c r="A49" s="6"/>
      <c r="B49" s="8"/>
      <c r="C49" s="8"/>
      <c r="D49" s="259"/>
      <c r="E49" s="233"/>
      <c r="F49" s="3"/>
      <c r="G49" s="159" t="s">
        <v>190</v>
      </c>
      <c r="H49" s="242"/>
      <c r="I49" s="242"/>
      <c r="J49" s="243"/>
      <c r="K49" s="175"/>
      <c r="L49" s="8"/>
      <c r="M49" s="8"/>
      <c r="N49" s="8"/>
      <c r="O49" s="8"/>
      <c r="P49" s="8"/>
      <c r="Q49" s="6"/>
    </row>
    <row r="50" spans="1:17" ht="15.95" customHeight="1">
      <c r="A50" s="6"/>
      <c r="B50" s="8"/>
      <c r="C50" s="8"/>
      <c r="D50" s="259"/>
      <c r="E50" s="231">
        <v>3</v>
      </c>
      <c r="F50" s="154">
        <f>J43+3</f>
        <v>45943</v>
      </c>
      <c r="G50" s="155">
        <f t="shared" ref="G50" si="24">F50+1</f>
        <v>45944</v>
      </c>
      <c r="H50" s="155">
        <f t="shared" ref="H50" si="25">G50+1</f>
        <v>45945</v>
      </c>
      <c r="I50" s="155">
        <f t="shared" ref="I50" si="26">H50+1</f>
        <v>45946</v>
      </c>
      <c r="J50" s="177">
        <f t="shared" ref="J50" si="27">I50+1</f>
        <v>45947</v>
      </c>
      <c r="K50" s="166"/>
      <c r="L50" s="8"/>
      <c r="M50" s="8"/>
      <c r="N50" s="8"/>
      <c r="O50" s="8"/>
      <c r="P50" s="8"/>
      <c r="Q50" s="6"/>
    </row>
    <row r="51" spans="1:17">
      <c r="A51" s="6"/>
      <c r="B51" s="8"/>
      <c r="C51" s="8"/>
      <c r="D51" s="259"/>
      <c r="E51" s="232"/>
      <c r="F51" s="235" t="s">
        <v>189</v>
      </c>
      <c r="G51" s="236"/>
      <c r="H51" s="236"/>
      <c r="I51" s="236"/>
      <c r="J51" s="237"/>
      <c r="K51" s="234"/>
      <c r="L51" s="8"/>
      <c r="M51" s="8"/>
      <c r="N51" s="8"/>
      <c r="O51" s="8"/>
      <c r="P51" s="8"/>
      <c r="Q51" s="6"/>
    </row>
    <row r="52" spans="1:17">
      <c r="A52" s="6"/>
      <c r="B52" s="8"/>
      <c r="C52" s="8"/>
      <c r="D52" s="259"/>
      <c r="E52" s="232"/>
      <c r="F52" s="238"/>
      <c r="G52" s="239"/>
      <c r="H52" s="239"/>
      <c r="I52" s="239"/>
      <c r="J52" s="240"/>
      <c r="K52" s="234"/>
      <c r="L52" s="8"/>
      <c r="M52" s="8"/>
      <c r="N52" s="8"/>
      <c r="O52" s="8"/>
      <c r="P52" s="8"/>
      <c r="Q52" s="6"/>
    </row>
    <row r="53" spans="1:17">
      <c r="A53" s="6"/>
      <c r="B53" s="8"/>
      <c r="C53" s="8"/>
      <c r="D53" s="259"/>
      <c r="E53" s="232"/>
      <c r="F53" s="238"/>
      <c r="G53" s="239"/>
      <c r="H53" s="239"/>
      <c r="I53" s="239"/>
      <c r="J53" s="240"/>
      <c r="K53" s="174"/>
      <c r="L53" s="8"/>
      <c r="M53" s="8"/>
      <c r="N53" s="8"/>
      <c r="O53" s="8"/>
      <c r="P53" s="8"/>
      <c r="Q53" s="6"/>
    </row>
    <row r="54" spans="1:17">
      <c r="A54" s="6"/>
      <c r="B54" s="8"/>
      <c r="C54" s="8"/>
      <c r="D54" s="259"/>
      <c r="E54" s="232"/>
      <c r="F54" s="238"/>
      <c r="G54" s="239"/>
      <c r="H54" s="239"/>
      <c r="I54" s="239"/>
      <c r="J54" s="240"/>
      <c r="K54" s="174"/>
      <c r="L54" s="8"/>
      <c r="M54" s="8"/>
      <c r="N54" s="8"/>
      <c r="O54" s="8"/>
      <c r="P54" s="8"/>
      <c r="Q54" s="6"/>
    </row>
    <row r="55" spans="1:17">
      <c r="A55" s="6"/>
      <c r="B55" s="8"/>
      <c r="C55" s="8"/>
      <c r="D55" s="259"/>
      <c r="E55" s="232"/>
      <c r="F55" s="238"/>
      <c r="G55" s="239"/>
      <c r="H55" s="239"/>
      <c r="I55" s="239"/>
      <c r="J55" s="240"/>
      <c r="K55" s="174"/>
      <c r="L55" s="8"/>
      <c r="M55" s="8"/>
      <c r="N55" s="8"/>
      <c r="O55" s="8"/>
      <c r="P55" s="8"/>
      <c r="Q55" s="6"/>
    </row>
    <row r="56" spans="1:17">
      <c r="A56" s="6"/>
      <c r="B56" s="8"/>
      <c r="C56" s="8"/>
      <c r="D56" s="259"/>
      <c r="E56" s="233"/>
      <c r="F56" s="241"/>
      <c r="G56" s="242"/>
      <c r="H56" s="242"/>
      <c r="I56" s="242"/>
      <c r="J56" s="243"/>
      <c r="K56" s="175"/>
      <c r="L56" s="8"/>
      <c r="M56" s="8"/>
      <c r="N56" s="8"/>
      <c r="O56" s="8"/>
      <c r="P56" s="8"/>
      <c r="Q56" s="6"/>
    </row>
    <row r="57" spans="1:17">
      <c r="A57" s="6"/>
      <c r="B57" s="8"/>
      <c r="C57" s="8"/>
      <c r="D57" s="259"/>
      <c r="E57" s="231">
        <v>4</v>
      </c>
      <c r="F57" s="154">
        <f>J50+3</f>
        <v>45950</v>
      </c>
      <c r="G57" s="155">
        <f t="shared" ref="G57" si="28">F57+1</f>
        <v>45951</v>
      </c>
      <c r="H57" s="155">
        <f t="shared" ref="H57" si="29">G57+1</f>
        <v>45952</v>
      </c>
      <c r="I57" s="155">
        <f t="shared" ref="I57" si="30">H57+1</f>
        <v>45953</v>
      </c>
      <c r="J57" s="177">
        <f t="shared" ref="J57" si="31">I57+1</f>
        <v>45954</v>
      </c>
      <c r="K57" s="166"/>
      <c r="L57" s="8"/>
      <c r="M57" s="8"/>
      <c r="N57" s="8"/>
      <c r="O57" s="8"/>
      <c r="P57" s="8"/>
      <c r="Q57" s="6"/>
    </row>
    <row r="58" spans="1:17">
      <c r="A58" s="6"/>
      <c r="B58" s="8"/>
      <c r="C58" s="8"/>
      <c r="D58" s="259"/>
      <c r="E58" s="232"/>
      <c r="F58" s="235" t="s">
        <v>189</v>
      </c>
      <c r="G58" s="236"/>
      <c r="H58" s="236"/>
      <c r="I58" s="244"/>
      <c r="J58" s="171"/>
      <c r="K58" s="234"/>
      <c r="L58" s="8"/>
      <c r="M58" s="8"/>
      <c r="N58" s="8"/>
      <c r="O58" s="8"/>
      <c r="P58" s="8"/>
      <c r="Q58" s="6"/>
    </row>
    <row r="59" spans="1:17">
      <c r="A59" s="6"/>
      <c r="B59" s="8"/>
      <c r="C59" s="8"/>
      <c r="D59" s="259"/>
      <c r="E59" s="232"/>
      <c r="F59" s="238"/>
      <c r="G59" s="239"/>
      <c r="H59" s="239"/>
      <c r="I59" s="245"/>
      <c r="J59" s="171"/>
      <c r="K59" s="234"/>
      <c r="L59" s="8"/>
      <c r="M59" s="8"/>
      <c r="N59" s="8"/>
      <c r="O59" s="8"/>
      <c r="P59" s="8"/>
      <c r="Q59" s="6"/>
    </row>
    <row r="60" spans="1:17">
      <c r="A60" s="6"/>
      <c r="B60" s="8"/>
      <c r="C60" s="8"/>
      <c r="D60" s="259"/>
      <c r="E60" s="232"/>
      <c r="F60" s="238"/>
      <c r="G60" s="239"/>
      <c r="H60" s="239"/>
      <c r="I60" s="245"/>
      <c r="J60" s="171"/>
      <c r="K60" s="174"/>
      <c r="L60" s="8"/>
      <c r="M60" s="8"/>
      <c r="N60" s="8"/>
      <c r="O60" s="8"/>
      <c r="P60" s="8"/>
      <c r="Q60" s="6"/>
    </row>
    <row r="61" spans="1:17">
      <c r="A61" s="6"/>
      <c r="B61" s="8"/>
      <c r="C61" s="8"/>
      <c r="D61" s="259"/>
      <c r="E61" s="232"/>
      <c r="F61" s="238"/>
      <c r="G61" s="239"/>
      <c r="H61" s="239"/>
      <c r="I61" s="245"/>
      <c r="J61" s="171"/>
      <c r="K61" s="174"/>
      <c r="L61" s="8"/>
      <c r="M61" s="8"/>
      <c r="N61" s="8"/>
      <c r="O61" s="8"/>
      <c r="P61" s="8"/>
      <c r="Q61" s="6"/>
    </row>
    <row r="62" spans="1:17">
      <c r="A62" s="6"/>
      <c r="B62" s="8"/>
      <c r="C62" s="8"/>
      <c r="D62" s="259"/>
      <c r="E62" s="232"/>
      <c r="F62" s="238"/>
      <c r="G62" s="239"/>
      <c r="H62" s="239"/>
      <c r="I62" s="245"/>
      <c r="J62" s="171"/>
      <c r="K62" s="174"/>
      <c r="L62" s="8"/>
      <c r="M62" s="8"/>
      <c r="N62" s="8"/>
      <c r="O62" s="8"/>
      <c r="P62" s="8"/>
      <c r="Q62" s="6"/>
    </row>
    <row r="63" spans="1:17">
      <c r="A63" s="6"/>
      <c r="B63" s="8"/>
      <c r="C63" s="8"/>
      <c r="D63" s="259"/>
      <c r="E63" s="233"/>
      <c r="F63" s="241"/>
      <c r="G63" s="242"/>
      <c r="H63" s="242"/>
      <c r="I63" s="246"/>
      <c r="J63" s="171"/>
      <c r="K63" s="175"/>
      <c r="L63" s="8"/>
      <c r="M63" s="8"/>
      <c r="N63" s="8"/>
      <c r="O63" s="8"/>
      <c r="P63" s="8"/>
      <c r="Q63" s="6"/>
    </row>
    <row r="64" spans="1:17">
      <c r="A64" s="6"/>
      <c r="B64" s="8"/>
      <c r="C64" s="8"/>
      <c r="D64" s="259"/>
      <c r="E64" s="231">
        <f>E57+1</f>
        <v>5</v>
      </c>
      <c r="F64" s="154">
        <f>J57+3</f>
        <v>45957</v>
      </c>
      <c r="G64" s="155">
        <f t="shared" ref="G64" si="32">F64+1</f>
        <v>45958</v>
      </c>
      <c r="H64" s="155">
        <f t="shared" ref="H64" si="33">G64+1</f>
        <v>45959</v>
      </c>
      <c r="I64" s="155">
        <f t="shared" ref="I64" si="34">H64+1</f>
        <v>45960</v>
      </c>
      <c r="J64" s="177">
        <f t="shared" ref="J64" si="35">I64+1</f>
        <v>45961</v>
      </c>
      <c r="K64" s="166"/>
      <c r="L64" s="8"/>
      <c r="M64" s="8"/>
      <c r="N64" s="8"/>
      <c r="O64" s="8"/>
      <c r="P64" s="8"/>
      <c r="Q64" s="6"/>
    </row>
    <row r="65" spans="1:17">
      <c r="A65" s="6"/>
      <c r="B65" s="8"/>
      <c r="C65" s="8"/>
      <c r="D65" s="259"/>
      <c r="E65" s="232"/>
      <c r="J65" s="171"/>
      <c r="K65" s="234"/>
      <c r="L65" s="8"/>
      <c r="M65" s="8"/>
      <c r="N65" s="8"/>
      <c r="O65" s="8"/>
      <c r="P65" s="8"/>
      <c r="Q65" s="6"/>
    </row>
    <row r="66" spans="1:17">
      <c r="A66" s="6"/>
      <c r="B66" s="8"/>
      <c r="C66" s="8"/>
      <c r="D66" s="259"/>
      <c r="E66" s="232"/>
      <c r="J66" s="171"/>
      <c r="K66" s="234"/>
      <c r="L66" s="8"/>
      <c r="M66" s="8"/>
      <c r="N66" s="8"/>
      <c r="O66" s="8"/>
      <c r="P66" s="8"/>
      <c r="Q66" s="6"/>
    </row>
    <row r="67" spans="1:17">
      <c r="A67" s="6"/>
      <c r="B67" s="8"/>
      <c r="C67" s="8"/>
      <c r="D67" s="259"/>
      <c r="E67" s="232"/>
      <c r="J67" s="171"/>
      <c r="K67" s="174"/>
      <c r="L67" s="8"/>
      <c r="M67" s="8"/>
      <c r="N67" s="8"/>
      <c r="O67" s="8"/>
      <c r="P67" s="8"/>
      <c r="Q67" s="6"/>
    </row>
    <row r="68" spans="1:17">
      <c r="A68" s="6"/>
      <c r="B68" s="8"/>
      <c r="C68" s="8"/>
      <c r="D68" s="259"/>
      <c r="E68" s="232"/>
      <c r="J68" s="171"/>
      <c r="K68" s="174"/>
      <c r="L68" s="8"/>
      <c r="M68" s="8"/>
      <c r="N68" s="8"/>
      <c r="O68" s="8"/>
      <c r="P68" s="8"/>
      <c r="Q68" s="6"/>
    </row>
    <row r="69" spans="1:17">
      <c r="A69" s="6"/>
      <c r="B69" s="8"/>
      <c r="C69" s="8"/>
      <c r="D69" s="259"/>
      <c r="E69" s="232"/>
      <c r="J69" s="171"/>
      <c r="K69" s="174"/>
      <c r="L69" s="8"/>
      <c r="M69" s="8"/>
      <c r="N69" s="8"/>
      <c r="O69" s="8"/>
      <c r="P69" s="8"/>
      <c r="Q69" s="6"/>
    </row>
    <row r="70" spans="1:17" ht="15.75" thickBot="1">
      <c r="A70" s="6"/>
      <c r="B70" s="8"/>
      <c r="C70" s="8"/>
      <c r="D70" s="259"/>
      <c r="E70" s="258"/>
      <c r="F70" s="178"/>
      <c r="G70" s="179"/>
      <c r="H70" s="179"/>
      <c r="I70" s="179"/>
      <c r="J70" s="173"/>
      <c r="K70" s="175"/>
      <c r="L70" s="8"/>
      <c r="M70" s="8"/>
      <c r="N70" s="8"/>
      <c r="O70" s="8"/>
      <c r="P70" s="8"/>
      <c r="Q70" s="6"/>
    </row>
    <row r="71" spans="1:17">
      <c r="A71" s="6"/>
      <c r="B71" s="8"/>
      <c r="C71" s="8"/>
      <c r="D71" s="8"/>
      <c r="E71" s="8"/>
      <c r="F71" s="10"/>
      <c r="G71" s="10"/>
      <c r="H71" s="10"/>
      <c r="I71" s="10"/>
      <c r="J71" s="10"/>
      <c r="K71" s="8"/>
      <c r="L71" s="8"/>
      <c r="O71" s="8"/>
      <c r="P71" s="8"/>
      <c r="Q71" s="6"/>
    </row>
    <row r="72" spans="1:17" s="8" customFormat="1">
      <c r="A72" s="6"/>
      <c r="F72" s="10"/>
      <c r="G72" s="10"/>
      <c r="H72" s="10"/>
      <c r="I72" s="10"/>
      <c r="J72" s="10"/>
      <c r="M72"/>
      <c r="N72"/>
      <c r="Q72" s="6"/>
    </row>
    <row r="73" spans="1:17">
      <c r="A73" s="1"/>
      <c r="B73" s="1"/>
      <c r="C73" s="1"/>
      <c r="D73" s="1"/>
      <c r="E73" s="1"/>
      <c r="F73" s="1"/>
      <c r="G73" s="1"/>
      <c r="H73" s="1"/>
      <c r="I73" s="1"/>
      <c r="J73" s="1"/>
      <c r="K73" s="1"/>
      <c r="L73" s="1"/>
      <c r="M73" s="1"/>
      <c r="N73" s="1"/>
      <c r="O73" s="1"/>
      <c r="P73" s="1"/>
      <c r="Q73" s="1"/>
    </row>
  </sheetData>
  <mergeCells count="36">
    <mergeCell ref="E64:E70"/>
    <mergeCell ref="K65:K66"/>
    <mergeCell ref="D36:D70"/>
    <mergeCell ref="D9:D35"/>
    <mergeCell ref="H44:J49"/>
    <mergeCell ref="H15:J15"/>
    <mergeCell ref="E36:E42"/>
    <mergeCell ref="E16:E21"/>
    <mergeCell ref="E22:E28"/>
    <mergeCell ref="E29:E35"/>
    <mergeCell ref="J18:J19"/>
    <mergeCell ref="F17:F18"/>
    <mergeCell ref="J20:J21"/>
    <mergeCell ref="K12:K13"/>
    <mergeCell ref="K10:K11"/>
    <mergeCell ref="F23:J28"/>
    <mergeCell ref="F30:F31"/>
    <mergeCell ref="E9:E15"/>
    <mergeCell ref="K18:K20"/>
    <mergeCell ref="K24:K26"/>
    <mergeCell ref="K27:K28"/>
    <mergeCell ref="H10:H11"/>
    <mergeCell ref="F35:J35"/>
    <mergeCell ref="E50:E56"/>
    <mergeCell ref="K51:K52"/>
    <mergeCell ref="K37:K39"/>
    <mergeCell ref="H38:H39"/>
    <mergeCell ref="F37:F38"/>
    <mergeCell ref="E57:E63"/>
    <mergeCell ref="K58:K59"/>
    <mergeCell ref="F51:J56"/>
    <mergeCell ref="F58:I63"/>
    <mergeCell ref="E43:E49"/>
    <mergeCell ref="K44:K46"/>
    <mergeCell ref="G44:G45"/>
    <mergeCell ref="F44:F4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46DDE-E822-3E4D-8B5A-D9C9FA9A6BF4}">
  <dimension ref="A1:R48"/>
  <sheetViews>
    <sheetView showGridLines="0" topLeftCell="A3" zoomScale="70" zoomScaleNormal="70" workbookViewId="0">
      <selection activeCell="K14" sqref="K14"/>
    </sheetView>
  </sheetViews>
  <sheetFormatPr defaultColWidth="11.5546875" defaultRowHeight="15"/>
  <cols>
    <col min="1" max="1" width="3" style="6" customWidth="1"/>
    <col min="2" max="3" width="3" style="8" customWidth="1"/>
    <col min="4" max="4" width="4" style="8" customWidth="1"/>
    <col min="5" max="5" width="3" style="8" customWidth="1"/>
    <col min="6" max="6" width="3.33203125" style="8" customWidth="1"/>
    <col min="7" max="8" width="27.88671875" style="10" customWidth="1"/>
    <col min="9" max="9" width="29.88671875" style="10" bestFit="1" customWidth="1"/>
    <col min="10" max="11" width="27.88671875" style="10" customWidth="1"/>
    <col min="12" max="12" width="49" style="8" customWidth="1"/>
    <col min="13" max="13" width="5.5546875" style="8" customWidth="1"/>
    <col min="14" max="14" width="8.33203125" style="8" customWidth="1"/>
    <col min="15" max="15" width="49" style="8" customWidth="1"/>
    <col min="16" max="17" width="3" style="8" customWidth="1"/>
    <col min="18" max="18" width="3" style="6" customWidth="1"/>
  </cols>
  <sheetData>
    <row r="1" spans="2:17">
      <c r="B1" s="6"/>
      <c r="C1" s="6"/>
      <c r="D1" s="6"/>
      <c r="E1" s="6"/>
      <c r="F1" s="6"/>
      <c r="G1" s="7"/>
      <c r="H1" s="7"/>
      <c r="I1" s="7"/>
      <c r="J1" s="7"/>
      <c r="K1" s="7"/>
      <c r="L1" s="6"/>
      <c r="M1" s="6"/>
      <c r="N1" s="6"/>
      <c r="O1" s="6"/>
      <c r="P1" s="6"/>
      <c r="Q1" s="6"/>
    </row>
    <row r="4" spans="2:17" ht="18">
      <c r="D4" s="9" t="s">
        <v>191</v>
      </c>
      <c r="E4" s="9"/>
    </row>
    <row r="5" spans="2:17">
      <c r="D5" s="11"/>
      <c r="E5" s="11"/>
      <c r="F5" s="11"/>
      <c r="G5" s="12"/>
      <c r="H5" s="12"/>
      <c r="I5" s="12"/>
      <c r="J5" s="12"/>
      <c r="K5" s="12"/>
      <c r="L5" s="11"/>
      <c r="M5" s="13"/>
      <c r="N5" s="13"/>
      <c r="O5" s="13"/>
    </row>
    <row r="8" spans="2:17">
      <c r="E8" s="14" t="s">
        <v>192</v>
      </c>
      <c r="F8" s="14" t="s">
        <v>193</v>
      </c>
      <c r="G8" s="15" t="s">
        <v>160</v>
      </c>
      <c r="H8" s="15" t="s">
        <v>161</v>
      </c>
      <c r="I8" s="15" t="s">
        <v>162</v>
      </c>
      <c r="J8" s="15" t="s">
        <v>163</v>
      </c>
      <c r="K8" s="15" t="s">
        <v>164</v>
      </c>
      <c r="L8" s="15" t="s">
        <v>165</v>
      </c>
      <c r="M8"/>
      <c r="N8"/>
      <c r="O8"/>
    </row>
    <row r="9" spans="2:17" ht="17.100000000000001" customHeight="1">
      <c r="E9" s="279" t="s">
        <v>194</v>
      </c>
      <c r="F9" s="281">
        <v>1</v>
      </c>
      <c r="G9" s="16">
        <v>29</v>
      </c>
      <c r="H9" s="17">
        <f t="shared" ref="H9:K9" si="0">G9+1</f>
        <v>30</v>
      </c>
      <c r="I9" s="17">
        <f t="shared" si="0"/>
        <v>31</v>
      </c>
      <c r="J9" s="17">
        <v>1</v>
      </c>
      <c r="K9" s="17">
        <f t="shared" si="0"/>
        <v>2</v>
      </c>
      <c r="L9" s="276"/>
      <c r="N9" s="126"/>
      <c r="O9" s="20" t="s">
        <v>195</v>
      </c>
    </row>
    <row r="10" spans="2:17" ht="17.100000000000001" customHeight="1">
      <c r="E10" s="280"/>
      <c r="F10" s="285"/>
      <c r="G10" s="19"/>
      <c r="H10" s="19"/>
      <c r="I10" s="19"/>
      <c r="J10" s="19"/>
      <c r="K10" s="50"/>
      <c r="L10" s="287"/>
      <c r="N10" s="127"/>
      <c r="O10" s="18" t="s">
        <v>196</v>
      </c>
    </row>
    <row r="11" spans="2:17" ht="17.100000000000001" customHeight="1">
      <c r="E11" s="280"/>
      <c r="F11" s="285"/>
      <c r="G11" s="21"/>
      <c r="H11" s="21"/>
      <c r="I11" s="22"/>
      <c r="J11" s="22"/>
      <c r="K11" s="21"/>
      <c r="L11" s="287"/>
      <c r="N11" s="125"/>
      <c r="O11" s="18" t="s">
        <v>197</v>
      </c>
    </row>
    <row r="12" spans="2:17" ht="17.100000000000001" customHeight="1">
      <c r="E12" s="280"/>
      <c r="F12" s="286"/>
      <c r="G12" s="23"/>
      <c r="H12" s="24"/>
      <c r="I12" s="23"/>
      <c r="J12" s="25"/>
      <c r="K12" s="26"/>
      <c r="L12" s="287"/>
      <c r="N12" s="142"/>
      <c r="O12" s="8" t="s">
        <v>198</v>
      </c>
    </row>
    <row r="13" spans="2:17" ht="17.100000000000001" customHeight="1">
      <c r="E13" s="280"/>
      <c r="F13" s="281">
        <f>F9+1</f>
        <v>2</v>
      </c>
      <c r="G13" s="27">
        <f>K9+3</f>
        <v>5</v>
      </c>
      <c r="H13" s="28">
        <f t="shared" ref="H13:K13" si="1">G13+1</f>
        <v>6</v>
      </c>
      <c r="I13" s="16">
        <f t="shared" si="1"/>
        <v>7</v>
      </c>
      <c r="J13" s="16">
        <f t="shared" si="1"/>
        <v>8</v>
      </c>
      <c r="K13" s="16">
        <f t="shared" si="1"/>
        <v>9</v>
      </c>
      <c r="L13" s="276"/>
      <c r="N13" s="128"/>
      <c r="O13" s="18" t="s">
        <v>199</v>
      </c>
    </row>
    <row r="14" spans="2:17" ht="25.5">
      <c r="E14" s="280"/>
      <c r="F14" s="282"/>
      <c r="G14" s="50"/>
      <c r="H14" s="81"/>
      <c r="I14" s="83"/>
      <c r="J14" s="115" t="s">
        <v>200</v>
      </c>
      <c r="K14" s="143" t="s">
        <v>198</v>
      </c>
      <c r="L14" s="284"/>
    </row>
    <row r="15" spans="2:17">
      <c r="E15" s="280"/>
      <c r="F15" s="282"/>
      <c r="G15" s="84"/>
      <c r="H15" s="82"/>
      <c r="I15" s="85"/>
      <c r="J15" s="50"/>
      <c r="K15" s="85"/>
      <c r="L15" s="284"/>
      <c r="N15" s="129"/>
      <c r="O15" s="8" t="s">
        <v>201</v>
      </c>
    </row>
    <row r="16" spans="2:17">
      <c r="E16" s="280"/>
      <c r="F16" s="282"/>
      <c r="G16" s="86"/>
      <c r="H16" s="82"/>
      <c r="I16" s="85"/>
      <c r="J16" s="50"/>
      <c r="K16" s="87"/>
      <c r="L16" s="284"/>
      <c r="N16" s="130"/>
      <c r="O16" s="8" t="s">
        <v>202</v>
      </c>
    </row>
    <row r="17" spans="5:15" ht="15.75">
      <c r="E17" s="280"/>
      <c r="F17" s="281">
        <f>F13+1</f>
        <v>3</v>
      </c>
      <c r="G17" s="28">
        <f>K13+3</f>
        <v>12</v>
      </c>
      <c r="H17" s="28">
        <f t="shared" ref="H17:K17" si="2">G17+1</f>
        <v>13</v>
      </c>
      <c r="I17" s="28">
        <f t="shared" si="2"/>
        <v>14</v>
      </c>
      <c r="J17" s="28">
        <f t="shared" si="2"/>
        <v>15</v>
      </c>
      <c r="K17" s="28">
        <f t="shared" si="2"/>
        <v>16</v>
      </c>
      <c r="L17" s="276"/>
    </row>
    <row r="18" spans="5:15" ht="25.5">
      <c r="E18" s="280"/>
      <c r="F18" s="282"/>
      <c r="G18" s="89"/>
      <c r="H18" s="89"/>
      <c r="I18" s="90"/>
      <c r="J18" s="116" t="s">
        <v>203</v>
      </c>
      <c r="K18" s="87"/>
      <c r="L18" s="284"/>
    </row>
    <row r="19" spans="5:15">
      <c r="E19" s="280"/>
      <c r="F19" s="282"/>
      <c r="G19" s="24"/>
      <c r="H19" s="24"/>
      <c r="I19" s="24"/>
      <c r="J19" s="91"/>
      <c r="K19" s="22"/>
      <c r="L19" s="284"/>
      <c r="O19" s="10"/>
    </row>
    <row r="20" spans="5:15">
      <c r="E20" s="280"/>
      <c r="F20" s="283"/>
      <c r="G20" s="24"/>
      <c r="H20" s="24"/>
      <c r="I20" s="24"/>
      <c r="J20" s="92"/>
      <c r="K20" s="23"/>
      <c r="L20" s="284"/>
    </row>
    <row r="21" spans="5:15" ht="15.75">
      <c r="E21" s="280"/>
      <c r="F21" s="281">
        <f>F17+1</f>
        <v>4</v>
      </c>
      <c r="G21" s="17">
        <f>K17+3</f>
        <v>19</v>
      </c>
      <c r="H21" s="17">
        <f t="shared" ref="H21:K21" si="3">G21+1</f>
        <v>20</v>
      </c>
      <c r="I21" s="17">
        <f t="shared" si="3"/>
        <v>21</v>
      </c>
      <c r="J21" s="29">
        <f t="shared" si="3"/>
        <v>22</v>
      </c>
      <c r="K21" s="29">
        <f t="shared" si="3"/>
        <v>23</v>
      </c>
      <c r="L21" s="276"/>
    </row>
    <row r="22" spans="5:15" ht="38.25">
      <c r="E22" s="280"/>
      <c r="F22" s="282"/>
      <c r="G22" s="124" t="s">
        <v>204</v>
      </c>
      <c r="H22" s="117" t="s">
        <v>205</v>
      </c>
      <c r="I22" s="90"/>
      <c r="J22" s="109" t="s">
        <v>206</v>
      </c>
      <c r="K22" s="117" t="s">
        <v>207</v>
      </c>
      <c r="L22" s="284"/>
    </row>
    <row r="23" spans="5:15" ht="25.5">
      <c r="E23" s="280"/>
      <c r="F23" s="282"/>
      <c r="G23" s="21"/>
      <c r="H23" s="21"/>
      <c r="I23" s="21"/>
      <c r="J23" s="93"/>
      <c r="K23" s="109" t="s">
        <v>208</v>
      </c>
      <c r="L23" s="284"/>
    </row>
    <row r="24" spans="5:15">
      <c r="E24" s="280"/>
      <c r="F24" s="283"/>
      <c r="G24" s="26"/>
      <c r="H24" s="26"/>
      <c r="I24" s="26"/>
      <c r="J24" s="94"/>
      <c r="K24" s="26"/>
      <c r="L24" s="284"/>
    </row>
    <row r="25" spans="5:15" ht="15.95" customHeight="1">
      <c r="E25" s="280"/>
      <c r="F25" s="281">
        <f>F21+1</f>
        <v>5</v>
      </c>
      <c r="G25" s="17">
        <f>K21+3</f>
        <v>26</v>
      </c>
      <c r="H25" s="17">
        <f t="shared" ref="H25:J25" si="4">G25+1</f>
        <v>27</v>
      </c>
      <c r="I25" s="16">
        <f t="shared" si="4"/>
        <v>28</v>
      </c>
      <c r="J25" s="17">
        <f t="shared" si="4"/>
        <v>29</v>
      </c>
      <c r="K25" s="16">
        <v>1</v>
      </c>
      <c r="L25" s="276"/>
    </row>
    <row r="26" spans="5:15" ht="25.5">
      <c r="E26" s="280"/>
      <c r="F26" s="282"/>
      <c r="G26" s="120" t="s">
        <v>209</v>
      </c>
      <c r="H26" s="118" t="s">
        <v>210</v>
      </c>
      <c r="I26" s="105" t="s">
        <v>211</v>
      </c>
      <c r="J26" s="107" t="s">
        <v>212</v>
      </c>
      <c r="K26" s="119" t="s">
        <v>213</v>
      </c>
      <c r="L26" s="284"/>
    </row>
    <row r="27" spans="5:15" ht="25.5">
      <c r="E27" s="280"/>
      <c r="F27" s="282"/>
      <c r="G27" s="95"/>
      <c r="I27" s="21"/>
      <c r="J27" s="21"/>
      <c r="K27" s="110" t="s">
        <v>214</v>
      </c>
      <c r="L27" s="284"/>
    </row>
    <row r="28" spans="5:15" ht="25.5">
      <c r="E28" s="280"/>
      <c r="F28" s="283"/>
      <c r="G28" s="95"/>
      <c r="H28" s="26"/>
      <c r="J28" s="123" t="s">
        <v>215</v>
      </c>
      <c r="K28" s="26"/>
      <c r="L28" s="284"/>
    </row>
    <row r="29" spans="5:15" ht="15.75">
      <c r="E29" s="280" t="s">
        <v>216</v>
      </c>
      <c r="F29" s="281">
        <f>F25+1</f>
        <v>6</v>
      </c>
      <c r="G29" s="17">
        <f>K25+3</f>
        <v>4</v>
      </c>
      <c r="H29" s="17">
        <f t="shared" ref="H29:K29" si="5">G29+1</f>
        <v>5</v>
      </c>
      <c r="I29" s="16">
        <f t="shared" si="5"/>
        <v>6</v>
      </c>
      <c r="J29" s="29">
        <f t="shared" si="5"/>
        <v>7</v>
      </c>
      <c r="K29" s="114">
        <f t="shared" si="5"/>
        <v>8</v>
      </c>
      <c r="L29" s="276"/>
    </row>
    <row r="30" spans="5:15" ht="38.25">
      <c r="E30" s="280"/>
      <c r="F30" s="282"/>
      <c r="G30" s="19"/>
      <c r="H30" s="121" t="s">
        <v>217</v>
      </c>
      <c r="I30" s="105" t="s">
        <v>218</v>
      </c>
      <c r="J30" s="108" t="s">
        <v>219</v>
      </c>
      <c r="K30" s="122" t="s">
        <v>220</v>
      </c>
      <c r="L30" s="284"/>
    </row>
    <row r="31" spans="5:15" ht="25.5">
      <c r="E31" s="280"/>
      <c r="F31" s="282"/>
      <c r="H31" s="21"/>
      <c r="I31" s="104"/>
      <c r="K31" s="118" t="s">
        <v>221</v>
      </c>
      <c r="L31" s="284"/>
    </row>
    <row r="32" spans="5:15">
      <c r="E32" s="280"/>
      <c r="F32" s="283"/>
      <c r="H32" s="26"/>
      <c r="I32" s="97"/>
      <c r="J32" s="98"/>
      <c r="K32" s="88"/>
      <c r="L32" s="278"/>
    </row>
    <row r="33" spans="4:12" ht="15.75">
      <c r="E33" s="280"/>
      <c r="F33" s="281">
        <f>F29+1</f>
        <v>7</v>
      </c>
      <c r="G33" s="17">
        <f>K29+3</f>
        <v>11</v>
      </c>
      <c r="H33" s="17">
        <v>19</v>
      </c>
      <c r="I33" s="17">
        <v>20</v>
      </c>
      <c r="J33" s="17">
        <v>21</v>
      </c>
      <c r="K33" s="17">
        <v>22</v>
      </c>
      <c r="L33" s="276"/>
    </row>
    <row r="34" spans="4:12" ht="25.5">
      <c r="E34" s="280"/>
      <c r="F34" s="282"/>
      <c r="G34" s="111" t="s">
        <v>222</v>
      </c>
      <c r="H34" s="122" t="s">
        <v>223</v>
      </c>
      <c r="I34" s="106" t="s">
        <v>224</v>
      </c>
      <c r="J34" s="106" t="s">
        <v>225</v>
      </c>
      <c r="K34" s="99"/>
      <c r="L34" s="277"/>
    </row>
    <row r="35" spans="4:12">
      <c r="E35" s="280"/>
      <c r="F35" s="282"/>
      <c r="G35" s="112"/>
      <c r="H35" s="112"/>
      <c r="I35" s="96"/>
      <c r="J35" s="100"/>
      <c r="K35" s="101"/>
      <c r="L35" s="277"/>
    </row>
    <row r="36" spans="4:12">
      <c r="D36" s="30"/>
      <c r="E36" s="280"/>
      <c r="F36" s="80"/>
      <c r="G36" s="113"/>
      <c r="H36" s="113"/>
      <c r="I36" s="88"/>
      <c r="J36" s="102"/>
      <c r="K36" s="103"/>
      <c r="L36" s="278"/>
    </row>
    <row r="38" spans="4:12">
      <c r="G38" s="10" t="s">
        <v>226</v>
      </c>
    </row>
    <row r="39" spans="4:12">
      <c r="G39" s="10" t="s">
        <v>227</v>
      </c>
    </row>
    <row r="40" spans="4:12">
      <c r="G40" s="131" t="s">
        <v>228</v>
      </c>
    </row>
    <row r="41" spans="4:12">
      <c r="G41" s="10" t="s">
        <v>229</v>
      </c>
    </row>
    <row r="42" spans="4:12">
      <c r="G42" s="10" t="s">
        <v>230</v>
      </c>
    </row>
    <row r="44" spans="4:12">
      <c r="G44" s="10" t="s">
        <v>231</v>
      </c>
    </row>
    <row r="45" spans="4:12" ht="30">
      <c r="G45" s="10" t="s">
        <v>232</v>
      </c>
    </row>
    <row r="46" spans="4:12">
      <c r="G46" s="10" t="s">
        <v>233</v>
      </c>
    </row>
    <row r="47" spans="4:12" ht="30">
      <c r="G47" s="10" t="s">
        <v>234</v>
      </c>
    </row>
    <row r="48" spans="4:12">
      <c r="G48" s="10" t="s">
        <v>235</v>
      </c>
    </row>
  </sheetData>
  <mergeCells count="16">
    <mergeCell ref="L33:L36"/>
    <mergeCell ref="E9:E28"/>
    <mergeCell ref="E29:E36"/>
    <mergeCell ref="F33:F35"/>
    <mergeCell ref="F25:F28"/>
    <mergeCell ref="L25:L28"/>
    <mergeCell ref="F29:F32"/>
    <mergeCell ref="L29:L32"/>
    <mergeCell ref="F9:F12"/>
    <mergeCell ref="L9:L12"/>
    <mergeCell ref="F13:F16"/>
    <mergeCell ref="L13:L16"/>
    <mergeCell ref="F17:F20"/>
    <mergeCell ref="L17:L20"/>
    <mergeCell ref="F21:F24"/>
    <mergeCell ref="L21:L24"/>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7B311-5401-9C4A-931B-EE5CE95A78C0}">
  <dimension ref="A1:R40"/>
  <sheetViews>
    <sheetView showGridLines="0" topLeftCell="A3" zoomScale="70" zoomScaleNormal="70" workbookViewId="0">
      <selection activeCell="N32" sqref="N32"/>
    </sheetView>
  </sheetViews>
  <sheetFormatPr defaultColWidth="11.5546875" defaultRowHeight="15"/>
  <cols>
    <col min="1" max="1" width="3" style="6" customWidth="1"/>
    <col min="2" max="3" width="3" style="8" customWidth="1"/>
    <col min="4" max="4" width="4" style="8" customWidth="1"/>
    <col min="5" max="5" width="3" style="8" customWidth="1"/>
    <col min="6" max="6" width="3.33203125" style="8" customWidth="1"/>
    <col min="7" max="8" width="27.88671875" style="10" customWidth="1"/>
    <col min="9" max="9" width="29.88671875" style="10" bestFit="1" customWidth="1"/>
    <col min="10" max="11" width="27.88671875" style="10" customWidth="1"/>
    <col min="12" max="12" width="49" style="8" customWidth="1"/>
    <col min="13" max="13" width="5.5546875" style="8" customWidth="1"/>
    <col min="14" max="14" width="8.33203125" style="8" customWidth="1"/>
    <col min="15" max="15" width="49" style="8" customWidth="1"/>
    <col min="16" max="17" width="3" style="8" customWidth="1"/>
    <col min="18" max="18" width="3" style="6" customWidth="1"/>
  </cols>
  <sheetData>
    <row r="1" spans="2:17">
      <c r="B1" s="6"/>
      <c r="C1" s="6"/>
      <c r="D1" s="6"/>
      <c r="E1" s="6"/>
      <c r="F1" s="6"/>
      <c r="G1" s="7"/>
      <c r="H1" s="7"/>
      <c r="I1" s="7"/>
      <c r="J1" s="7"/>
      <c r="K1" s="7"/>
      <c r="L1" s="6"/>
      <c r="M1" s="6"/>
      <c r="N1" s="6"/>
      <c r="O1" s="6"/>
      <c r="P1" s="6"/>
      <c r="Q1" s="6"/>
    </row>
    <row r="4" spans="2:17" ht="18">
      <c r="D4" s="9" t="s">
        <v>191</v>
      </c>
      <c r="E4" s="9"/>
    </row>
    <row r="5" spans="2:17">
      <c r="D5" s="11"/>
      <c r="E5" s="11"/>
      <c r="F5" s="11"/>
      <c r="G5" s="12"/>
      <c r="H5" s="12"/>
      <c r="I5" s="12"/>
      <c r="J5" s="12"/>
      <c r="K5" s="12"/>
      <c r="L5" s="11"/>
      <c r="M5" s="13"/>
      <c r="N5" s="13"/>
      <c r="O5" s="13"/>
    </row>
    <row r="8" spans="2:17">
      <c r="E8" s="14" t="s">
        <v>192</v>
      </c>
      <c r="F8" s="14" t="s">
        <v>193</v>
      </c>
      <c r="G8" s="15" t="s">
        <v>160</v>
      </c>
      <c r="H8" s="15" t="s">
        <v>161</v>
      </c>
      <c r="I8" s="15" t="s">
        <v>162</v>
      </c>
      <c r="J8" s="15" t="s">
        <v>163</v>
      </c>
      <c r="K8" s="15" t="s">
        <v>164</v>
      </c>
      <c r="L8" s="15" t="s">
        <v>165</v>
      </c>
      <c r="M8"/>
      <c r="N8"/>
      <c r="O8"/>
    </row>
    <row r="9" spans="2:17" ht="17.100000000000001" customHeight="1">
      <c r="E9" s="279" t="s">
        <v>216</v>
      </c>
      <c r="F9" s="281">
        <v>1</v>
      </c>
      <c r="G9" s="16">
        <v>25</v>
      </c>
      <c r="H9" s="17">
        <f t="shared" ref="H9:I9" si="0">G9+1</f>
        <v>26</v>
      </c>
      <c r="I9" s="17">
        <f t="shared" si="0"/>
        <v>27</v>
      </c>
      <c r="J9" s="17">
        <f t="shared" ref="J9" si="1">I9+1</f>
        <v>28</v>
      </c>
      <c r="K9" s="17">
        <f t="shared" ref="K9" si="2">J9+1</f>
        <v>29</v>
      </c>
      <c r="L9" s="276"/>
      <c r="N9" s="126"/>
      <c r="O9" s="20" t="s">
        <v>236</v>
      </c>
    </row>
    <row r="10" spans="2:17" ht="17.100000000000001" customHeight="1">
      <c r="E10" s="280"/>
      <c r="F10" s="285"/>
      <c r="G10" s="19"/>
      <c r="H10" s="19"/>
      <c r="I10" s="19"/>
      <c r="J10" s="19"/>
      <c r="K10" s="50"/>
      <c r="L10" s="287"/>
      <c r="N10" s="127"/>
      <c r="O10" s="18" t="s">
        <v>237</v>
      </c>
    </row>
    <row r="11" spans="2:17" ht="17.100000000000001" customHeight="1">
      <c r="E11" s="280"/>
      <c r="F11" s="285"/>
      <c r="G11" s="21"/>
      <c r="H11" s="21"/>
      <c r="I11" s="22"/>
      <c r="J11" s="22"/>
      <c r="K11" s="21"/>
      <c r="L11" s="287"/>
      <c r="N11" s="125"/>
      <c r="O11" s="18" t="s">
        <v>238</v>
      </c>
    </row>
    <row r="12" spans="2:17" ht="17.100000000000001" customHeight="1">
      <c r="E12" s="280"/>
      <c r="F12" s="286"/>
      <c r="G12" s="23"/>
      <c r="H12" s="24"/>
      <c r="I12" s="23"/>
      <c r="J12" s="25"/>
      <c r="K12" s="26"/>
      <c r="L12" s="287"/>
      <c r="N12" s="128"/>
      <c r="O12" s="18" t="s">
        <v>199</v>
      </c>
    </row>
    <row r="13" spans="2:17" ht="17.100000000000001" customHeight="1">
      <c r="E13" s="280" t="s">
        <v>239</v>
      </c>
      <c r="F13" s="281">
        <f>F9+1</f>
        <v>2</v>
      </c>
      <c r="G13" s="27">
        <v>1</v>
      </c>
      <c r="H13" s="28">
        <f t="shared" ref="H13:K13" si="3">G13+1</f>
        <v>2</v>
      </c>
      <c r="I13" s="16">
        <f t="shared" si="3"/>
        <v>3</v>
      </c>
      <c r="J13" s="16">
        <f t="shared" si="3"/>
        <v>4</v>
      </c>
      <c r="K13" s="16">
        <f t="shared" si="3"/>
        <v>5</v>
      </c>
      <c r="L13" s="276"/>
    </row>
    <row r="14" spans="2:17">
      <c r="E14" s="280"/>
      <c r="F14" s="282"/>
      <c r="G14" s="50"/>
      <c r="H14" s="81"/>
      <c r="I14" s="83"/>
      <c r="J14" s="83"/>
      <c r="K14" s="19"/>
      <c r="L14" s="284"/>
    </row>
    <row r="15" spans="2:17">
      <c r="E15" s="280"/>
      <c r="F15" s="282"/>
      <c r="G15" s="84"/>
      <c r="H15" s="82"/>
      <c r="I15" s="85"/>
      <c r="J15" s="50"/>
      <c r="K15" s="85"/>
      <c r="L15" s="284"/>
      <c r="N15" s="129"/>
      <c r="O15" s="8" t="s">
        <v>201</v>
      </c>
    </row>
    <row r="16" spans="2:17">
      <c r="E16" s="280"/>
      <c r="F16" s="282"/>
      <c r="G16" s="86"/>
      <c r="H16" s="82"/>
      <c r="I16" s="85"/>
      <c r="J16" s="50"/>
      <c r="K16" s="87"/>
      <c r="L16" s="284"/>
      <c r="N16" s="130"/>
      <c r="O16" s="8" t="s">
        <v>202</v>
      </c>
    </row>
    <row r="17" spans="5:15" ht="15.75">
      <c r="E17" s="280"/>
      <c r="F17" s="281">
        <f>F13+1</f>
        <v>3</v>
      </c>
      <c r="G17" s="28">
        <f>K13+3</f>
        <v>8</v>
      </c>
      <c r="H17" s="28">
        <f t="shared" ref="H17:K17" si="4">G17+1</f>
        <v>9</v>
      </c>
      <c r="I17" s="28">
        <f t="shared" si="4"/>
        <v>10</v>
      </c>
      <c r="J17" s="28">
        <f t="shared" si="4"/>
        <v>11</v>
      </c>
      <c r="K17" s="28">
        <f t="shared" si="4"/>
        <v>12</v>
      </c>
      <c r="L17" s="276"/>
    </row>
    <row r="18" spans="5:15" ht="25.5">
      <c r="E18" s="280"/>
      <c r="F18" s="282"/>
      <c r="G18" s="140" t="s">
        <v>240</v>
      </c>
      <c r="H18" s="89"/>
      <c r="I18" s="90"/>
      <c r="J18" s="91"/>
      <c r="K18" s="87"/>
      <c r="L18" s="284"/>
    </row>
    <row r="19" spans="5:15">
      <c r="E19" s="280"/>
      <c r="F19" s="282"/>
      <c r="G19" s="24"/>
      <c r="H19" s="24"/>
      <c r="I19" s="24"/>
      <c r="J19" s="91"/>
      <c r="K19" s="22"/>
      <c r="L19" s="284"/>
      <c r="O19" s="10"/>
    </row>
    <row r="20" spans="5:15">
      <c r="E20" s="280"/>
      <c r="F20" s="283"/>
      <c r="G20" s="24"/>
      <c r="H20" s="24"/>
      <c r="I20" s="24"/>
      <c r="J20" s="92"/>
      <c r="K20" s="23"/>
      <c r="L20" s="284"/>
    </row>
    <row r="21" spans="5:15" ht="15.75">
      <c r="E21" s="280"/>
      <c r="F21" s="281">
        <f>F17+1</f>
        <v>4</v>
      </c>
      <c r="G21" s="17">
        <f>K17+3</f>
        <v>15</v>
      </c>
      <c r="H21" s="17">
        <f t="shared" ref="H21:K21" si="5">G21+1</f>
        <v>16</v>
      </c>
      <c r="I21" s="17">
        <f t="shared" si="5"/>
        <v>17</v>
      </c>
      <c r="J21" s="29">
        <f t="shared" si="5"/>
        <v>18</v>
      </c>
      <c r="K21" s="29">
        <f t="shared" si="5"/>
        <v>19</v>
      </c>
      <c r="L21" s="276"/>
    </row>
    <row r="22" spans="5:15">
      <c r="E22" s="280"/>
      <c r="F22" s="282"/>
      <c r="G22" s="139"/>
      <c r="H22" s="137"/>
      <c r="I22" s="90"/>
      <c r="J22" s="135"/>
      <c r="K22" s="137"/>
      <c r="L22" s="284"/>
    </row>
    <row r="23" spans="5:15">
      <c r="E23" s="280"/>
      <c r="F23" s="282"/>
      <c r="G23" s="21"/>
      <c r="H23" s="21"/>
      <c r="I23" s="21"/>
      <c r="J23" s="93"/>
      <c r="K23" s="135"/>
      <c r="L23" s="284"/>
    </row>
    <row r="24" spans="5:15">
      <c r="E24" s="280"/>
      <c r="F24" s="283"/>
      <c r="G24" s="26"/>
      <c r="H24" s="26"/>
      <c r="I24" s="26"/>
      <c r="J24" s="94"/>
      <c r="K24" s="26"/>
      <c r="L24" s="284"/>
    </row>
    <row r="25" spans="5:15" ht="15.95" customHeight="1">
      <c r="E25" s="280"/>
      <c r="F25" s="281">
        <f>F21+1</f>
        <v>5</v>
      </c>
      <c r="G25" s="17">
        <f>K21+3</f>
        <v>22</v>
      </c>
      <c r="H25" s="17">
        <f t="shared" ref="H25:K25" si="6">G25+1</f>
        <v>23</v>
      </c>
      <c r="I25" s="16">
        <f t="shared" si="6"/>
        <v>24</v>
      </c>
      <c r="J25" s="17">
        <f t="shared" si="6"/>
        <v>25</v>
      </c>
      <c r="K25" s="17">
        <f t="shared" si="6"/>
        <v>26</v>
      </c>
      <c r="L25" s="276"/>
    </row>
    <row r="26" spans="5:15">
      <c r="E26" s="280"/>
      <c r="F26" s="282"/>
      <c r="G26" s="137"/>
      <c r="H26" s="135"/>
      <c r="I26" s="19"/>
      <c r="J26" s="138"/>
      <c r="K26" s="133"/>
      <c r="L26" s="284"/>
    </row>
    <row r="27" spans="5:15">
      <c r="E27" s="280"/>
      <c r="F27" s="282"/>
      <c r="G27" s="95"/>
      <c r="I27" s="21"/>
      <c r="J27" s="21"/>
      <c r="K27" s="95"/>
      <c r="L27" s="284"/>
    </row>
    <row r="28" spans="5:15">
      <c r="E28" s="280"/>
      <c r="F28" s="283"/>
      <c r="G28" s="95"/>
      <c r="H28" s="26"/>
      <c r="J28" s="26"/>
      <c r="K28" s="26"/>
      <c r="L28" s="284"/>
    </row>
    <row r="29" spans="5:15" ht="15.75">
      <c r="E29" s="280" t="s">
        <v>241</v>
      </c>
      <c r="F29" s="281">
        <f>F25+1</f>
        <v>6</v>
      </c>
      <c r="G29" s="17">
        <f>K25+3</f>
        <v>29</v>
      </c>
      <c r="H29" s="17">
        <f t="shared" ref="H29:K29" si="7">G29+1</f>
        <v>30</v>
      </c>
      <c r="I29" s="16">
        <v>1</v>
      </c>
      <c r="J29" s="29">
        <f t="shared" si="7"/>
        <v>2</v>
      </c>
      <c r="K29" s="114">
        <f t="shared" si="7"/>
        <v>3</v>
      </c>
      <c r="L29" s="276"/>
    </row>
    <row r="30" spans="5:15" ht="63.75">
      <c r="E30" s="280"/>
      <c r="F30" s="282"/>
      <c r="G30" s="19"/>
      <c r="H30" s="135"/>
      <c r="I30" s="141" t="s">
        <v>242</v>
      </c>
      <c r="J30" s="136"/>
      <c r="K30" s="133"/>
      <c r="L30" s="284"/>
    </row>
    <row r="31" spans="5:15">
      <c r="E31" s="280"/>
      <c r="F31" s="282"/>
      <c r="H31" s="21"/>
      <c r="I31" s="104"/>
      <c r="K31" s="135"/>
      <c r="L31" s="284"/>
    </row>
    <row r="32" spans="5:15">
      <c r="E32" s="280"/>
      <c r="F32" s="283"/>
      <c r="H32" s="26"/>
      <c r="I32" s="97"/>
      <c r="J32" s="98"/>
      <c r="K32" s="88"/>
      <c r="L32" s="278"/>
    </row>
    <row r="33" spans="4:12" ht="15.75">
      <c r="E33" s="280"/>
      <c r="F33" s="281">
        <f>F29+1</f>
        <v>7</v>
      </c>
      <c r="G33" s="17">
        <f>K29+3</f>
        <v>6</v>
      </c>
      <c r="H33" s="17">
        <v>19</v>
      </c>
      <c r="I33" s="17">
        <v>20</v>
      </c>
      <c r="J33" s="17">
        <v>21</v>
      </c>
      <c r="K33" s="17">
        <v>22</v>
      </c>
      <c r="L33" s="276"/>
    </row>
    <row r="34" spans="4:12">
      <c r="E34" s="280"/>
      <c r="F34" s="282"/>
      <c r="G34" s="132"/>
      <c r="H34" s="133"/>
      <c r="I34" s="134"/>
      <c r="J34" s="134"/>
      <c r="K34" s="99"/>
      <c r="L34" s="277"/>
    </row>
    <row r="35" spans="4:12">
      <c r="E35" s="280"/>
      <c r="F35" s="282"/>
      <c r="G35" s="112"/>
      <c r="H35" s="112"/>
      <c r="I35" s="96"/>
      <c r="J35" s="100"/>
      <c r="K35" s="101"/>
      <c r="L35" s="277"/>
    </row>
    <row r="36" spans="4:12">
      <c r="D36" s="30"/>
      <c r="E36" s="280"/>
      <c r="F36" s="80"/>
      <c r="G36" s="113"/>
      <c r="H36" s="113"/>
      <c r="I36" s="88"/>
      <c r="J36" s="102"/>
      <c r="K36" s="103"/>
      <c r="L36" s="278"/>
    </row>
    <row r="40" spans="4:12">
      <c r="G40" s="131"/>
    </row>
  </sheetData>
  <mergeCells count="17">
    <mergeCell ref="L21:L24"/>
    <mergeCell ref="F25:F28"/>
    <mergeCell ref="E9:E12"/>
    <mergeCell ref="E13:E28"/>
    <mergeCell ref="L25:L28"/>
    <mergeCell ref="F9:F12"/>
    <mergeCell ref="L9:L12"/>
    <mergeCell ref="F13:F16"/>
    <mergeCell ref="L13:L16"/>
    <mergeCell ref="F17:F20"/>
    <mergeCell ref="L17:L20"/>
    <mergeCell ref="F21:F24"/>
    <mergeCell ref="E29:E36"/>
    <mergeCell ref="F29:F32"/>
    <mergeCell ref="L29:L32"/>
    <mergeCell ref="F33:F35"/>
    <mergeCell ref="L33:L36"/>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2231E-00AE-7F46-BD73-ABD08B867229}">
  <dimension ref="A2:F11"/>
  <sheetViews>
    <sheetView workbookViewId="0">
      <selection activeCell="F7" sqref="F7"/>
    </sheetView>
  </sheetViews>
  <sheetFormatPr defaultColWidth="11.5546875" defaultRowHeight="15"/>
  <sheetData>
    <row r="2" spans="1:6">
      <c r="A2">
        <v>1</v>
      </c>
      <c r="B2" t="s">
        <v>243</v>
      </c>
    </row>
    <row r="3" spans="1:6">
      <c r="B3" s="59" t="s">
        <v>244</v>
      </c>
      <c r="F3" t="s">
        <v>245</v>
      </c>
    </row>
    <row r="4" spans="1:6">
      <c r="B4" s="59" t="s">
        <v>246</v>
      </c>
      <c r="F4" t="s">
        <v>247</v>
      </c>
    </row>
    <row r="6" spans="1:6">
      <c r="A6">
        <v>2</v>
      </c>
      <c r="B6" t="s">
        <v>248</v>
      </c>
    </row>
    <row r="7" spans="1:6">
      <c r="B7" t="s">
        <v>249</v>
      </c>
    </row>
    <row r="8" spans="1:6">
      <c r="B8" t="s">
        <v>250</v>
      </c>
    </row>
    <row r="9" spans="1:6">
      <c r="B9" t="s">
        <v>251</v>
      </c>
    </row>
    <row r="10" spans="1:6">
      <c r="B10" t="s">
        <v>252</v>
      </c>
    </row>
    <row r="11" spans="1:6">
      <c r="B11" t="s">
        <v>253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B831B-6B3B-8049-8EAA-058A312D56C5}">
  <dimension ref="A2:B4"/>
  <sheetViews>
    <sheetView workbookViewId="0">
      <selection activeCell="F7" sqref="F7"/>
    </sheetView>
  </sheetViews>
  <sheetFormatPr defaultColWidth="11.5546875" defaultRowHeight="15"/>
  <sheetData>
    <row r="2" spans="1:2">
      <c r="A2">
        <v>1</v>
      </c>
      <c r="B2" t="s">
        <v>254</v>
      </c>
    </row>
    <row r="3" spans="1:2">
      <c r="B3" t="s">
        <v>255</v>
      </c>
    </row>
    <row r="4" spans="1:2">
      <c r="B4" t="s">
        <v>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Frentes y Responsables</vt:lpstr>
      <vt:lpstr>Template</vt:lpstr>
      <vt:lpstr>Plan SteerCo#1</vt:lpstr>
      <vt:lpstr>Plan SteerCo#2</vt:lpstr>
      <vt:lpstr>Santi</vt:lpstr>
      <vt:lpstr>Elisa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Franco Andrés Chiappe Donoso</cp:lastModifiedBy>
  <cp:revision/>
  <dcterms:created xsi:type="dcterms:W3CDTF">2023-08-09T22:21:45Z</dcterms:created>
  <dcterms:modified xsi:type="dcterms:W3CDTF">2025-09-05T00:25:04Z</dcterms:modified>
  <cp:category/>
  <cp:contentStatus/>
</cp:coreProperties>
</file>